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codeName="ThisWorkbook"/>
  <mc:AlternateContent xmlns:mc="http://schemas.openxmlformats.org/markup-compatibility/2006">
    <mc:Choice Requires="x15">
      <x15ac:absPath xmlns:x15ac="http://schemas.microsoft.com/office/spreadsheetml/2010/11/ac" url="C:\Users\ali\Downloads\"/>
    </mc:Choice>
  </mc:AlternateContent>
  <xr:revisionPtr revIDLastSave="0" documentId="13_ncr:1_{B371507B-DF89-49D0-84E6-075E717EFA38}" xr6:coauthVersionLast="47" xr6:coauthVersionMax="47" xr10:uidLastSave="{00000000-0000-0000-0000-000000000000}"/>
  <bookViews>
    <workbookView xWindow="-90" yWindow="-90" windowWidth="16637" windowHeight="8717" activeTab="1" xr2:uid="{1319D334-4A90-442A-B0DB-9E4049998FA7}"/>
  </bookViews>
  <sheets>
    <sheet name="Content" sheetId="5" r:id="rId1"/>
    <sheet name="Data to Fill" sheetId="2" r:id="rId2"/>
    <sheet name="Data Sources" sheetId="4" r:id="rId3"/>
    <sheet name="Arranged Data" sheetId="3"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3" l="1"/>
  <c r="B17" i="3"/>
  <c r="B19" i="3"/>
  <c r="M4" i="2"/>
  <c r="M29" i="2"/>
  <c r="M28" i="2"/>
  <c r="M27" i="2"/>
  <c r="M26" i="2"/>
  <c r="M25" i="2"/>
  <c r="M24" i="2"/>
  <c r="M23" i="2"/>
  <c r="M22" i="2"/>
  <c r="M19" i="2"/>
  <c r="M18" i="2"/>
  <c r="M17" i="2"/>
  <c r="M16" i="2"/>
  <c r="M15" i="2"/>
  <c r="M14" i="2"/>
  <c r="M13" i="2"/>
  <c r="M9" i="2"/>
  <c r="M8" i="2"/>
  <c r="M7" i="2"/>
  <c r="M6" i="2"/>
  <c r="M5" i="2"/>
  <c r="B88" i="3"/>
  <c r="B87" i="3"/>
  <c r="B86" i="3"/>
  <c r="B85" i="3"/>
  <c r="B84" i="3"/>
  <c r="B83" i="3"/>
  <c r="B82" i="3"/>
  <c r="B81" i="3"/>
  <c r="B80" i="3"/>
  <c r="B78" i="3"/>
  <c r="B79" i="3"/>
  <c r="B77" i="3"/>
  <c r="B76" i="3"/>
  <c r="B75" i="3"/>
  <c r="B74" i="3"/>
  <c r="B73" i="3"/>
  <c r="B72" i="3"/>
  <c r="B71" i="3"/>
  <c r="B70" i="3"/>
  <c r="B69" i="3"/>
  <c r="B56" i="3"/>
  <c r="B55" i="3"/>
  <c r="B54" i="3"/>
  <c r="B53" i="3"/>
  <c r="B52" i="3"/>
  <c r="B51" i="3"/>
  <c r="B45" i="3"/>
  <c r="B46" i="3"/>
  <c r="B47" i="3"/>
  <c r="B48" i="3"/>
  <c r="B49" i="3"/>
  <c r="B50" i="3"/>
  <c r="B44" i="3"/>
  <c r="B39" i="3"/>
  <c r="B40" i="3"/>
  <c r="B41" i="3"/>
  <c r="B42" i="3"/>
  <c r="B43" i="3"/>
  <c r="B38" i="3"/>
  <c r="B33" i="3"/>
  <c r="B34" i="3"/>
  <c r="B35" i="3"/>
  <c r="B36" i="3"/>
  <c r="B37" i="3"/>
  <c r="B32" i="3"/>
  <c r="B31" i="3"/>
  <c r="B30" i="3"/>
  <c r="B29" i="3"/>
  <c r="B28" i="3"/>
  <c r="B27" i="3"/>
  <c r="B26" i="3"/>
  <c r="B25" i="3"/>
  <c r="B22" i="3"/>
  <c r="B23" i="3"/>
  <c r="B24" i="3"/>
  <c r="B21" i="3"/>
  <c r="B18" i="3"/>
  <c r="B16" i="3"/>
  <c r="B15" i="3"/>
  <c r="B14" i="3"/>
  <c r="B13" i="3"/>
  <c r="B12" i="3"/>
  <c r="B11" i="3"/>
  <c r="B10" i="3"/>
  <c r="B9" i="3"/>
  <c r="B8" i="3"/>
  <c r="B7" i="3"/>
  <c r="B6" i="3"/>
  <c r="B5" i="3"/>
  <c r="B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tc={24C2BBFC-385A-48BF-866F-2FBBF2D98DE0}</author>
  </authors>
  <commentList>
    <comment ref="C18" authorId="0" shapeId="0" xr:uid="{24C2BBFC-385A-48BF-866F-2FBBF2D98DE0}">
      <text>
        <t>[Threaded comment]
Your version of Excel allows you to read this threaded comment; however, any edits to it will get removed if the file is opened in a newer version of Excel. Learn more: https://go.microsoft.com/fwlink/?linkid=870924
Comment:
    This is the average annual electricity price. The default hourly electricity price profile will be adjusted to match this average value.</t>
      </text>
    </comment>
  </commentList>
</comments>
</file>

<file path=xl/sharedStrings.xml><?xml version="1.0" encoding="utf-8"?>
<sst xmlns="http://schemas.openxmlformats.org/spreadsheetml/2006/main" count="363" uniqueCount="188">
  <si>
    <t>In this part of the sheet, you define the values used to generate the CSV file.
Click on the "Generate CSV input file" button to create the input file for the CM. The file will be saved to the same directory as this xlsm file.</t>
  </si>
  <si>
    <t>Here you can store / document your scenario assumptions used in the csv file generation on the left-hand side.</t>
  </si>
  <si>
    <t>Technology</t>
  </si>
  <si>
    <t>Thermal output capacity [MW_th]</t>
  </si>
  <si>
    <t xml:space="preserve">Max. installed capacity in investment mode. 0 (zero) means no limit  [MW_th] </t>
  </si>
  <si>
    <t>Thermal efficiency</t>
  </si>
  <si>
    <t>Electrical efficiency</t>
  </si>
  <si>
    <t>Lifetime [years]</t>
  </si>
  <si>
    <t>Energy carrier</t>
  </si>
  <si>
    <t>Investment cost [Eur/MW_th]</t>
  </si>
  <si>
    <t>OPEX fix  [EUR/(MW_th*yr)]</t>
  </si>
  <si>
    <t>OPEX var [EUR/MWh_th]</t>
  </si>
  <si>
    <t>Ramping cost [EUR/MWh_th]</t>
  </si>
  <si>
    <t>Scenario 1</t>
  </si>
  <si>
    <t>Scenario 2</t>
  </si>
  <si>
    <t>Scenario 3</t>
  </si>
  <si>
    <t>…</t>
  </si>
  <si>
    <t>Back Pressure CHP</t>
  </si>
  <si>
    <t>wood pellets</t>
  </si>
  <si>
    <t>Waste Incineration Plant</t>
  </si>
  <si>
    <t>waste</t>
  </si>
  <si>
    <t>Heat Boiler</t>
  </si>
  <si>
    <t>-</t>
  </si>
  <si>
    <t>bio gas</t>
  </si>
  <si>
    <t>Air Source Heat Pump</t>
  </si>
  <si>
    <t>electricity</t>
  </si>
  <si>
    <t>Solar Thermal</t>
  </si>
  <si>
    <t>radiation</t>
  </si>
  <si>
    <t>Excess Heat (direct-use)</t>
  </si>
  <si>
    <t>excess heat</t>
  </si>
  <si>
    <t>Energy Carrier</t>
  </si>
  <si>
    <t>Energy carrier price [EUR/MWh_th]</t>
  </si>
  <si>
    <t>Emission factor [tCO2/MWh_th]</t>
  </si>
  <si>
    <r>
      <t>Energy carrier price [EUR/MWh_th]</t>
    </r>
    <r>
      <rPr>
        <b/>
        <sz val="11"/>
        <color rgb="FFFF0000"/>
        <rFont val="Aptos Narrow"/>
        <family val="2"/>
        <scheme val="minor"/>
      </rPr>
      <t>*</t>
    </r>
  </si>
  <si>
    <t>*It is highly recommended to update energy carrier prices.</t>
  </si>
  <si>
    <t xml:space="preserve">various </t>
  </si>
  <si>
    <t>Parameter</t>
  </si>
  <si>
    <t>Value</t>
  </si>
  <si>
    <t>Mode of operation</t>
  </si>
  <si>
    <t>Investment + dispatch</t>
  </si>
  <si>
    <t xml:space="preserve">District heating demand (incl. grid losses) [MWh] </t>
  </si>
  <si>
    <t>After running the CM "Economic Assessment", you can copy the inputs and results into the "Scenario Assessment"-Excel tool, which will help you  calculating the DH demand plus grid losses of your scenarios.</t>
  </si>
  <si>
    <t>CO2 Price [EUR/tCO2]</t>
  </si>
  <si>
    <t>Interest rate [%]</t>
  </si>
  <si>
    <t xml:space="preserve">Max. flow temperature </t>
  </si>
  <si>
    <t>Min. flow temperature [°C]</t>
  </si>
  <si>
    <t>Max. return temperature [°C]</t>
  </si>
  <si>
    <t>Min. return temperature [°C]</t>
  </si>
  <si>
    <t>Input Creator for "CM - District Heating Supply"</t>
  </si>
  <si>
    <t>Authors:</t>
  </si>
  <si>
    <t>Ali Kök, Marcus Hummel</t>
  </si>
  <si>
    <t>Contact:</t>
  </si>
  <si>
    <t>hummel@e-think.ac.at</t>
  </si>
  <si>
    <t>Date:</t>
  </si>
  <si>
    <t>Revisions:</t>
  </si>
  <si>
    <t xml:space="preserve">Aim: </t>
  </si>
  <si>
    <t>Preparation of an input data csv-File to be uploaded to the citiwatts Toolbox - CM - District Heating Supply</t>
  </si>
  <si>
    <t>Target group:</t>
  </si>
  <si>
    <t>public authority, planners and consultants in the field of heating and cooling</t>
  </si>
  <si>
    <t>Colour coding:</t>
  </si>
  <si>
    <t>Field to be filled out with the inputs selected for the toolbox run/calulation module</t>
  </si>
  <si>
    <t>Field to be filled out with the outputs of the run/calulation module</t>
  </si>
  <si>
    <t>Default input parameter provided that can be adjusted</t>
  </si>
  <si>
    <t>Value to be copied to another spread sheet as the basis of input data</t>
  </si>
  <si>
    <t>Instructions</t>
  </si>
  <si>
    <t>Instructions on where insert results or which figures to copy for later application</t>
  </si>
  <si>
    <t>Intermediate calculations or default data. DO NOT ADJUST!</t>
  </si>
  <si>
    <t>​This project has received funding in the framework of the joint programming initiative ERA-Net Smart Energy Systems’ focus initiative Digital Transformation for the Energy Transition, with support from the European Union’s Horizon 2020 research and innovation programme under grant agreement No. 883 973.</t>
  </si>
  <si>
    <t>This project has received funding from the above-mentioned national funding agencies in Denmark, Austria, Switzerland, and Germany.</t>
  </si>
  <si>
    <t>Ref. No</t>
  </si>
  <si>
    <t>Reference</t>
  </si>
  <si>
    <t>[1]</t>
  </si>
  <si>
    <t>[8]</t>
  </si>
  <si>
    <t>Technikkatalog Wärmeplanung 1.1, Biomasse Heizkraftwerk - Holzpellets, Year 2040, Thermal Output: 16.9 MW</t>
  </si>
  <si>
    <t>[3]</t>
  </si>
  <si>
    <t>Technikkatalog Wärmeplanung 1.1,Erdgaskessel (zentral/Spitzenlastabdeckung), Year: 2040, Thermal Output: 10 MW</t>
  </si>
  <si>
    <t>[4]</t>
  </si>
  <si>
    <t>Technikkatalog Wärmeplanung 1.1, Großwärmepumpe Luft (Kompressionswärmepumpe), Year: 2040, Thermal Output: 5 MW</t>
  </si>
  <si>
    <t>[5]</t>
  </si>
  <si>
    <t>Technikkatalog Wärmeplanung 1.1,Solarthermie Freiflächenanlagen - Flachkollektoren, Year: 2040, Thermal Output: 10 MW</t>
  </si>
  <si>
    <t>[9]</t>
  </si>
  <si>
    <t>Technikkatalog Wärmeplanung 1.1, Emissionsfaktoren, Year: 2040</t>
  </si>
  <si>
    <t>Hotmaps CM District heating supply dispatch. URL: https://github.com/HotMaps/dispatch_module/</t>
  </si>
  <si>
    <t>Based on own assumptions. Actually values might vary based on the project.</t>
  </si>
  <si>
    <t xml:space="preserve">bio gas </t>
  </si>
  <si>
    <t>[7]</t>
  </si>
  <si>
    <t xml:space="preserve">waste </t>
  </si>
  <si>
    <t xml:space="preserve">wood pellets </t>
  </si>
  <si>
    <t>INPUT</t>
  </si>
  <si>
    <t>value</t>
  </si>
  <si>
    <t>unit</t>
  </si>
  <si>
    <t xml:space="preserve">Thermal output capacity  -Back Pressure CHP </t>
  </si>
  <si>
    <t>MW_th</t>
  </si>
  <si>
    <t xml:space="preserve">Thermal output capacity -Waste Incineration Plant </t>
  </si>
  <si>
    <t xml:space="preserve">Thermal output capacity -Heat Boiler </t>
  </si>
  <si>
    <t xml:space="preserve">Thermal output capacity  -Air Source Heat Pump </t>
  </si>
  <si>
    <t xml:space="preserve">Thermal output capacity -Solar Thermal </t>
  </si>
  <si>
    <t xml:space="preserve">Thermal output capacity -Excess Heat (direct-use) </t>
  </si>
  <si>
    <t xml:space="preserve">CO2 Price </t>
  </si>
  <si>
    <t>EUR/tCO2</t>
  </si>
  <si>
    <t xml:space="preserve">Interest rate </t>
  </si>
  <si>
    <t>%</t>
  </si>
  <si>
    <t xml:space="preserve">District heating demand (incl. grid losses) </t>
  </si>
  <si>
    <t>MWh</t>
  </si>
  <si>
    <t>Max. flow temperature</t>
  </si>
  <si>
    <t>°C</t>
  </si>
  <si>
    <t>Min. flow temperature</t>
  </si>
  <si>
    <t>Max. return temperature</t>
  </si>
  <si>
    <t>Min. return temperature</t>
  </si>
  <si>
    <t xml:space="preserve">Thermal efficiency -Back Pressure CHP </t>
  </si>
  <si>
    <t xml:space="preserve">Electrical efficiency -Back Pressure CHP </t>
  </si>
  <si>
    <t>Thermal efficiency -Waste Incineration Plant</t>
  </si>
  <si>
    <t>Electrical efficiency -Waste Incineration Plant</t>
  </si>
  <si>
    <t xml:space="preserve">Thermal efficiency -Heat Boiler </t>
  </si>
  <si>
    <t xml:space="preserve">Thermal efficiency -Solar Thermal </t>
  </si>
  <si>
    <t xml:space="preserve">Thermal efficiency -Excess Heat (direct-use) </t>
  </si>
  <si>
    <t xml:space="preserve">Lifetime -Back Pressure CHP </t>
  </si>
  <si>
    <t>a</t>
  </si>
  <si>
    <t>Lifetime -Waste Incineration Plant</t>
  </si>
  <si>
    <t xml:space="preserve">Lifetime -Heat Boiler </t>
  </si>
  <si>
    <t xml:space="preserve">Lifetime -Air Source Heat Pump  </t>
  </si>
  <si>
    <t xml:space="preserve">Lifetime -Solar Thermal </t>
  </si>
  <si>
    <t xml:space="preserve">Lifetime -Excess Heat (direct-use) </t>
  </si>
  <si>
    <t xml:space="preserve">Energy carrier -Back Pressure CHP </t>
  </si>
  <si>
    <t>Energy carrier -Waste Incineration Plant</t>
  </si>
  <si>
    <t xml:space="preserve">Energy carrier -Heat Boiler </t>
  </si>
  <si>
    <t xml:space="preserve">Energy carrier -Air Source Heat Pump  </t>
  </si>
  <si>
    <t xml:space="preserve">Energy carrier -Solar Thermal </t>
  </si>
  <si>
    <t xml:space="preserve">Energy carrier -Excess Heat (direct-use) </t>
  </si>
  <si>
    <t>Emission factor -Bio Gas</t>
  </si>
  <si>
    <t>tCO2/MWh</t>
  </si>
  <si>
    <t xml:space="preserve">Emission factor  -waste </t>
  </si>
  <si>
    <t>Emission factor  -radiation</t>
  </si>
  <si>
    <t xml:space="preserve">Emission factor -excess heat </t>
  </si>
  <si>
    <t xml:space="preserve">Emission factor -electricity </t>
  </si>
  <si>
    <t xml:space="preserve">Emission factor  -various </t>
  </si>
  <si>
    <t xml:space="preserve">Energy carrier price - Bio Gas </t>
  </si>
  <si>
    <t>EUR/MWh</t>
  </si>
  <si>
    <t xml:space="preserve">Energy carrier price - waste </t>
  </si>
  <si>
    <t xml:space="preserve">Energy carrier price -wood pellets </t>
  </si>
  <si>
    <t>Energy carrier price -radiation</t>
  </si>
  <si>
    <t>Energy carrier price -excess heat</t>
  </si>
  <si>
    <t xml:space="preserve">Energy carrier price - various </t>
  </si>
  <si>
    <t xml:space="preserve">Electricity price-Back Pressure CHP </t>
  </si>
  <si>
    <t>hotmaps default hourly profile</t>
  </si>
  <si>
    <t xml:space="preserve">Fix electricity price-Back Pressure CHP </t>
  </si>
  <si>
    <t xml:space="preserve">Sale electricity price-Back Pressure CHP </t>
  </si>
  <si>
    <t xml:space="preserve">Fix sale electricity price-Back Pressure CHP </t>
  </si>
  <si>
    <t>Electricity price -Waste Incineration Plant</t>
  </si>
  <si>
    <t>Fix electricity price -Waste Incineration Plant</t>
  </si>
  <si>
    <t>Sale electricity price -Waste Incineration Plant</t>
  </si>
  <si>
    <t>Fix sale electricity price -Waste Incineration Plant</t>
  </si>
  <si>
    <t xml:space="preserve">Electricity price -Heat Boiler </t>
  </si>
  <si>
    <t xml:space="preserve">Fix electricity price -Heat Boiler </t>
  </si>
  <si>
    <t xml:space="preserve">Electricity price -Air Source Heat Pump </t>
  </si>
  <si>
    <t xml:space="preserve">Fix electricity price -Air Source Heat Pump </t>
  </si>
  <si>
    <t xml:space="preserve">Investment cost -Back Pressure CHP </t>
  </si>
  <si>
    <t>EUR/MW_th</t>
  </si>
  <si>
    <t xml:space="preserve">OPEX fix -Back Pressure CHP </t>
  </si>
  <si>
    <t>EUR/(MW*yr)</t>
  </si>
  <si>
    <t xml:space="preserve">OPEX var -Back Pressure CHP </t>
  </si>
  <si>
    <t>Ramping cost  -Back Pressure CHP</t>
  </si>
  <si>
    <t>Investment cost -Waste Incineration Plant</t>
  </si>
  <si>
    <t>OPEX fix -Waste Incineration Plant</t>
  </si>
  <si>
    <t>OPEX var -Waste Incineration Plant</t>
  </si>
  <si>
    <t>Ramping cost  -Waste Incineration Plant</t>
  </si>
  <si>
    <t xml:space="preserve">Investment cost -Heat Boiler </t>
  </si>
  <si>
    <t xml:space="preserve">OPEX fix -Heat Boiler </t>
  </si>
  <si>
    <t xml:space="preserve">OPEX var -Heat Boiler </t>
  </si>
  <si>
    <t xml:space="preserve">Investment cost -Air Source Heat Pump  </t>
  </si>
  <si>
    <t xml:space="preserve">OPEX fix -Air Source Heat Pump  </t>
  </si>
  <si>
    <t xml:space="preserve">OPEX var -Air Source Heat Pump  </t>
  </si>
  <si>
    <t xml:space="preserve">Investment cost -Solar Thermal </t>
  </si>
  <si>
    <t xml:space="preserve">OPEX fix -Solar Thermal </t>
  </si>
  <si>
    <t xml:space="preserve">OPEX var -Solar Thermal </t>
  </si>
  <si>
    <t xml:space="preserve">Investment cost -Excess Heat (direct-use) </t>
  </si>
  <si>
    <t xml:space="preserve">OPEX fix -Excess Heat (direct-use) </t>
  </si>
  <si>
    <t xml:space="preserve">OPEX var -Excess Heat (direct-use) </t>
  </si>
  <si>
    <t>nuts_id_number</t>
  </si>
  <si>
    <t>Average electricity price</t>
  </si>
  <si>
    <t>Max. installed capacity in investment mode -Back Pressure CHP.</t>
  </si>
  <si>
    <t>Max. installed Capacity in investment mode -Waste Incineration Plant.</t>
  </si>
  <si>
    <t>Max. installed capacity in investment mode -Heat Boiler.</t>
  </si>
  <si>
    <t>Max. installed capacity in investment mode -Air Source Heat Pump.</t>
  </si>
  <si>
    <t>Max. installed capacity in investment mode -Solar Thermal.</t>
  </si>
  <si>
    <t>Max. installed capacity in investment mode -Excess Heat (direct-use).</t>
  </si>
  <si>
    <t xml:space="preserve">Emission factor  -wood pellets </t>
  </si>
  <si>
    <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</si>
</sst>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0.0_-;\-* #,##0.0_-;_-* &quot;-&quot;??_-;_-@_-"/>
    <numFmt numFmtId="165" formatCode="_-* #,##0_-;\-* #,##0_-;_-* &quot;-&quot;??_-;_-@_-"/>
    <numFmt numFmtId="166" formatCode="_-* #,##0.00\ _€_-;\-* #,##0.00\ _€_-;_-* &quot;-&quot;??\ _€_-;_-@_-"/>
    <numFmt numFmtId="167" formatCode="0.0"/>
  </numFmts>
  <fonts count="34"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sz val="12"/>
      <color theme="1"/>
      <name val="Aptos Narrow"/>
      <family val="2"/>
      <scheme val="minor"/>
    </font>
    <font>
      <u/>
      <sz val="11"/>
      <color theme="10"/>
      <name val="Aptos Narrow"/>
      <family val="2"/>
      <scheme val="minor"/>
    </font>
    <font>
      <b/>
      <sz val="18"/>
      <color theme="1"/>
      <name val="Aptos Narrow"/>
      <family val="2"/>
      <scheme val="minor"/>
    </font>
    <font>
      <sz val="8"/>
      <color theme="1"/>
      <name val="Segoe UI"/>
      <family val="2"/>
    </font>
    <font>
      <sz val="11"/>
      <color indexed="8"/>
      <name val="Calibri"/>
      <family val="2"/>
      <charset val="1"/>
    </font>
    <font>
      <sz val="11"/>
      <name val="Calibri"/>
      <family val="2"/>
      <charset val="1"/>
    </font>
    <font>
      <b/>
      <i/>
      <sz val="11"/>
      <color rgb="FFFF0000"/>
      <name val="Aptos Narrow"/>
      <family val="2"/>
      <scheme val="minor"/>
    </font>
    <font>
      <sz val="10"/>
      <color theme="1"/>
      <name val="Aptos Narrow"/>
      <family val="2"/>
      <scheme val="minor"/>
    </font>
    <font>
      <b/>
      <sz val="11"/>
      <color rgb="FFFF0000"/>
      <name val="Aptos Narrow"/>
      <family val="2"/>
      <scheme val="minor"/>
    </font>
    <font>
      <sz val="11"/>
      <name val="Aptos Narrow"/>
      <family val="2"/>
      <scheme val="minor"/>
    </font>
    <font>
      <b/>
      <sz val="16"/>
      <color rgb="FFFF0000"/>
      <name val="Aptos Narrow"/>
      <family val="2"/>
      <scheme val="minor"/>
    </font>
    <font>
      <sz val="11"/>
      <color indexed="8"/>
      <name val="Calibri"/>
      <family val="2"/>
    </font>
    <font>
      <sz val="10"/>
      <name val="Arial"/>
      <family val="2"/>
    </font>
    <font>
      <sz val="11"/>
      <color indexed="8"/>
      <name val="Arial"/>
      <family val="2"/>
    </font>
    <font>
      <sz val="11"/>
      <color theme="1"/>
      <name val="Arial"/>
      <family val="2"/>
    </font>
    <font>
      <sz val="11"/>
      <color rgb="FF000000"/>
      <name val="Aptos Narrow"/>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0"/>
        <bgColor indexed="64"/>
      </patternFill>
    </fill>
    <fill>
      <patternFill patternType="solid">
        <fgColor rgb="FF9BF3FF"/>
        <bgColor indexed="27"/>
      </patternFill>
    </fill>
    <fill>
      <patternFill patternType="solid">
        <fgColor theme="5" tint="0.39997558519241921"/>
        <bgColor indexed="64"/>
      </patternFill>
    </fill>
    <fill>
      <patternFill patternType="solid">
        <fgColor theme="0" tint="-0.14999847407452621"/>
        <bgColor indexed="64"/>
      </patternFill>
    </fill>
    <fill>
      <patternFill patternType="solid">
        <fgColor rgb="FFFFE699"/>
        <bgColor indexed="27"/>
      </patternFill>
    </fill>
    <fill>
      <patternFill patternType="solid">
        <fgColor theme="0" tint="-0.249977111117893"/>
        <bgColor indexed="64"/>
      </patternFill>
    </fill>
    <fill>
      <patternFill patternType="solid">
        <fgColor theme="9" tint="0.79998168889431442"/>
        <bgColor indexed="27"/>
      </patternFill>
    </fill>
    <fill>
      <patternFill patternType="solid">
        <fgColor indexed="47"/>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52">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applyNumberFormat="0" applyFill="0" applyBorder="0" applyAlignment="0" applyProtection="0"/>
    <xf numFmtId="0" fontId="22" fillId="0" borderId="0"/>
    <xf numFmtId="0" fontId="19" fillId="0" borderId="0" applyNumberFormat="0" applyFill="0" applyBorder="0" applyAlignment="0" applyProtection="0"/>
    <xf numFmtId="166" fontId="31" fillId="0" borderId="0" applyFont="0" applyFill="0" applyBorder="0" applyAlignment="0" applyProtection="0"/>
    <xf numFmtId="0" fontId="32" fillId="0" borderId="0"/>
    <xf numFmtId="0" fontId="29" fillId="41" borderId="0" applyNumberFormat="0" applyBorder="0" applyAlignment="0" applyProtection="0"/>
    <xf numFmtId="9" fontId="1" fillId="0" borderId="0" applyFont="0" applyFill="0" applyBorder="0" applyAlignment="0" applyProtection="0"/>
    <xf numFmtId="0" fontId="30" fillId="0" borderId="0"/>
    <xf numFmtId="43" fontId="1" fillId="0" borderId="0" applyFont="0" applyFill="0" applyBorder="0" applyAlignment="0" applyProtection="0"/>
  </cellStyleXfs>
  <cellXfs count="95">
    <xf numFmtId="0" fontId="0" fillId="0" borderId="0" xfId="0"/>
    <xf numFmtId="0" fontId="0" fillId="0" borderId="0" xfId="0" applyAlignment="1">
      <alignment wrapText="1"/>
    </xf>
    <xf numFmtId="0" fontId="0" fillId="0" borderId="13" xfId="0" applyBorder="1" applyAlignment="1">
      <alignment wrapText="1"/>
    </xf>
    <xf numFmtId="0" fontId="0" fillId="0" borderId="14" xfId="0" applyBorder="1"/>
    <xf numFmtId="0" fontId="0" fillId="0" borderId="0" xfId="0" applyAlignment="1">
      <alignment horizontal="center"/>
    </xf>
    <xf numFmtId="0" fontId="0" fillId="0" borderId="15" xfId="0" applyBorder="1" applyAlignment="1">
      <alignment wrapText="1"/>
    </xf>
    <xf numFmtId="0" fontId="0" fillId="0" borderId="16" xfId="0" applyBorder="1"/>
    <xf numFmtId="0" fontId="0" fillId="0" borderId="16" xfId="0" applyBorder="1" applyAlignment="1">
      <alignment horizontal="center"/>
    </xf>
    <xf numFmtId="0" fontId="0" fillId="0" borderId="13" xfId="0" applyBorder="1" applyAlignment="1">
      <alignment vertical="center" wrapText="1"/>
    </xf>
    <xf numFmtId="0" fontId="0" fillId="0" borderId="17" xfId="0" applyBorder="1"/>
    <xf numFmtId="164" fontId="0" fillId="0" borderId="0" xfId="1" applyNumberFormat="1" applyFont="1" applyBorder="1"/>
    <xf numFmtId="165" fontId="0" fillId="0" borderId="0" xfId="1" applyNumberFormat="1" applyFont="1" applyBorder="1"/>
    <xf numFmtId="43" fontId="0" fillId="0" borderId="0" xfId="1" applyFont="1"/>
    <xf numFmtId="0" fontId="0" fillId="0" borderId="0" xfId="0" applyAlignment="1">
      <alignment horizontal="center" vertical="center" wrapText="1"/>
    </xf>
    <xf numFmtId="165" fontId="0" fillId="0" borderId="0" xfId="1" applyNumberFormat="1" applyFont="1" applyBorder="1" applyAlignment="1">
      <alignment horizontal="center"/>
    </xf>
    <xf numFmtId="0" fontId="0" fillId="0" borderId="13" xfId="0" applyBorder="1"/>
    <xf numFmtId="0" fontId="0" fillId="0" borderId="15" xfId="0" applyBorder="1"/>
    <xf numFmtId="0" fontId="16" fillId="0" borderId="19" xfId="0" applyFont="1" applyBorder="1" applyAlignment="1">
      <alignment horizontal="center" vertical="center" wrapText="1"/>
    </xf>
    <xf numFmtId="0" fontId="16" fillId="0" borderId="20" xfId="0" applyFont="1" applyBorder="1" applyAlignment="1">
      <alignment horizontal="center" vertical="center" wrapText="1"/>
    </xf>
    <xf numFmtId="0" fontId="16" fillId="0" borderId="21" xfId="0" applyFont="1" applyBorder="1" applyAlignment="1">
      <alignment horizontal="center" vertical="center" wrapText="1"/>
    </xf>
    <xf numFmtId="0" fontId="16" fillId="0" borderId="21" xfId="0" applyFont="1" applyBorder="1" applyAlignment="1">
      <alignment horizontal="center" vertical="center"/>
    </xf>
    <xf numFmtId="0" fontId="16" fillId="0" borderId="16" xfId="0" applyFont="1" applyBorder="1" applyAlignment="1">
      <alignment horizontal="center" vertical="center" wrapText="1"/>
    </xf>
    <xf numFmtId="0" fontId="16" fillId="0" borderId="17" xfId="0" applyFont="1" applyBorder="1" applyAlignment="1">
      <alignment horizontal="center" vertical="center" wrapText="1"/>
    </xf>
    <xf numFmtId="0" fontId="16" fillId="0" borderId="0" xfId="0" applyFont="1" applyAlignment="1">
      <alignment horizontal="center" wrapText="1"/>
    </xf>
    <xf numFmtId="0" fontId="16" fillId="0" borderId="14" xfId="0" applyFont="1" applyBorder="1" applyAlignment="1">
      <alignment horizontal="center" wrapText="1"/>
    </xf>
    <xf numFmtId="0" fontId="0" fillId="0" borderId="10" xfId="0" applyBorder="1"/>
    <xf numFmtId="0" fontId="0" fillId="0" borderId="11" xfId="0" applyBorder="1"/>
    <xf numFmtId="0" fontId="0" fillId="0" borderId="12" xfId="0" applyBorder="1"/>
    <xf numFmtId="0" fontId="16" fillId="0" borderId="18" xfId="0" applyFont="1" applyBorder="1" applyAlignment="1">
      <alignment horizontal="center" vertical="center"/>
    </xf>
    <xf numFmtId="0" fontId="16" fillId="0" borderId="18" xfId="0" applyFont="1" applyBorder="1" applyAlignment="1">
      <alignment horizontal="center" wrapText="1"/>
    </xf>
    <xf numFmtId="1" fontId="0" fillId="0" borderId="14" xfId="1" applyNumberFormat="1" applyFont="1" applyFill="1" applyBorder="1"/>
    <xf numFmtId="165" fontId="0" fillId="33" borderId="0" xfId="1" applyNumberFormat="1" applyFont="1" applyFill="1" applyBorder="1"/>
    <xf numFmtId="0" fontId="0" fillId="33" borderId="0" xfId="0" applyFill="1"/>
    <xf numFmtId="164" fontId="0" fillId="33" borderId="0" xfId="1" applyNumberFormat="1" applyFont="1" applyFill="1" applyBorder="1"/>
    <xf numFmtId="0" fontId="0" fillId="34" borderId="0" xfId="0" applyFill="1"/>
    <xf numFmtId="0" fontId="19" fillId="34" borderId="0" xfId="43" applyFill="1"/>
    <xf numFmtId="14" fontId="0" fillId="34" borderId="0" xfId="0" applyNumberFormat="1" applyFill="1" applyAlignment="1">
      <alignment horizontal="left"/>
    </xf>
    <xf numFmtId="0" fontId="0" fillId="34" borderId="0" xfId="0" applyFill="1" applyAlignment="1">
      <alignment vertical="top"/>
    </xf>
    <xf numFmtId="0" fontId="21" fillId="34" borderId="0" xfId="0" applyFont="1" applyFill="1" applyAlignment="1">
      <alignment vertical="top"/>
    </xf>
    <xf numFmtId="0" fontId="23" fillId="35" borderId="10" xfId="44" applyFont="1" applyFill="1" applyBorder="1" applyAlignment="1" applyProtection="1">
      <alignment horizontal="center" vertical="center"/>
      <protection locked="0"/>
    </xf>
    <xf numFmtId="0" fontId="23" fillId="35" borderId="12" xfId="44" applyFont="1" applyFill="1" applyBorder="1" applyAlignment="1" applyProtection="1">
      <alignment horizontal="center" vertical="center"/>
      <protection locked="0"/>
    </xf>
    <xf numFmtId="0" fontId="0" fillId="36" borderId="13" xfId="0" applyFill="1" applyBorder="1" applyAlignment="1">
      <alignment vertical="top"/>
    </xf>
    <xf numFmtId="0" fontId="0" fillId="36" borderId="14" xfId="0" applyFill="1" applyBorder="1" applyAlignment="1">
      <alignment vertical="top"/>
    </xf>
    <xf numFmtId="0" fontId="24" fillId="34" borderId="13" xfId="0" applyFont="1" applyFill="1" applyBorder="1" applyAlignment="1">
      <alignment vertical="top"/>
    </xf>
    <xf numFmtId="0" fontId="0" fillId="34" borderId="14" xfId="0" applyFill="1" applyBorder="1" applyAlignment="1">
      <alignment vertical="top"/>
    </xf>
    <xf numFmtId="0" fontId="24" fillId="37" borderId="15" xfId="0" applyFont="1" applyFill="1" applyBorder="1" applyAlignment="1">
      <alignment vertical="top"/>
    </xf>
    <xf numFmtId="0" fontId="0" fillId="37" borderId="17" xfId="0" applyFill="1" applyBorder="1" applyAlignment="1">
      <alignment vertical="top"/>
    </xf>
    <xf numFmtId="0" fontId="23" fillId="38" borderId="13" xfId="44" applyFont="1" applyFill="1" applyBorder="1" applyAlignment="1" applyProtection="1">
      <alignment horizontal="center" vertical="center"/>
      <protection locked="0"/>
    </xf>
    <xf numFmtId="0" fontId="23" fillId="38" borderId="14" xfId="44" applyFont="1" applyFill="1" applyBorder="1" applyAlignment="1" applyProtection="1">
      <alignment horizontal="center" vertical="center"/>
      <protection locked="0"/>
    </xf>
    <xf numFmtId="0" fontId="20" fillId="34" borderId="0" xfId="0" applyFont="1" applyFill="1" applyAlignment="1">
      <alignment vertical="top" wrapText="1"/>
    </xf>
    <xf numFmtId="0" fontId="0" fillId="0" borderId="11" xfId="0" applyBorder="1" applyAlignment="1">
      <alignment wrapText="1"/>
    </xf>
    <xf numFmtId="0" fontId="0" fillId="0" borderId="12" xfId="0" applyBorder="1" applyAlignment="1">
      <alignment wrapText="1"/>
    </xf>
    <xf numFmtId="0" fontId="0" fillId="39" borderId="0" xfId="0" applyFill="1"/>
    <xf numFmtId="0" fontId="0" fillId="39" borderId="0" xfId="0" applyFill="1" applyAlignment="1">
      <alignment wrapText="1"/>
    </xf>
    <xf numFmtId="0" fontId="0" fillId="0" borderId="0" xfId="0" applyAlignment="1">
      <alignment horizontal="left"/>
    </xf>
    <xf numFmtId="0" fontId="27" fillId="37" borderId="0" xfId="0" applyFont="1" applyFill="1" applyAlignment="1">
      <alignment horizontal="center"/>
    </xf>
    <xf numFmtId="0" fontId="27" fillId="37" borderId="16" xfId="0" applyFont="1" applyFill="1" applyBorder="1" applyAlignment="1">
      <alignment horizontal="center"/>
    </xf>
    <xf numFmtId="0" fontId="0" fillId="33" borderId="16" xfId="0" applyFill="1" applyBorder="1"/>
    <xf numFmtId="165" fontId="0" fillId="33" borderId="14" xfId="1" applyNumberFormat="1" applyFont="1" applyFill="1" applyBorder="1"/>
    <xf numFmtId="0" fontId="0" fillId="37" borderId="0" xfId="0" applyFill="1"/>
    <xf numFmtId="165" fontId="0" fillId="37" borderId="14" xfId="1" applyNumberFormat="1" applyFont="1" applyFill="1" applyBorder="1" applyAlignment="1">
      <alignment horizontal="center"/>
    </xf>
    <xf numFmtId="165" fontId="0" fillId="37" borderId="17" xfId="1" applyNumberFormat="1" applyFont="1" applyFill="1" applyBorder="1" applyAlignment="1">
      <alignment horizontal="center"/>
    </xf>
    <xf numFmtId="0" fontId="0" fillId="33" borderId="14" xfId="0" applyFill="1" applyBorder="1"/>
    <xf numFmtId="0" fontId="0" fillId="33" borderId="17" xfId="0" applyFill="1" applyBorder="1"/>
    <xf numFmtId="0" fontId="23" fillId="40" borderId="13" xfId="44" applyFont="1" applyFill="1" applyBorder="1" applyAlignment="1" applyProtection="1">
      <alignment horizontal="center" vertical="center"/>
      <protection locked="0"/>
    </xf>
    <xf numFmtId="0" fontId="23" fillId="40" borderId="14" xfId="44" applyFont="1" applyFill="1" applyBorder="1" applyAlignment="1" applyProtection="1">
      <alignment horizontal="center" vertical="center"/>
      <protection locked="0"/>
    </xf>
    <xf numFmtId="0" fontId="26" fillId="0" borderId="0" xfId="0" applyFont="1" applyAlignment="1">
      <alignment horizontal="center" vertical="center" wrapText="1"/>
    </xf>
    <xf numFmtId="0" fontId="28" fillId="34" borderId="0" xfId="0" applyFont="1" applyFill="1" applyAlignment="1">
      <alignment vertical="top"/>
    </xf>
    <xf numFmtId="49" fontId="0" fillId="0" borderId="0" xfId="0" applyNumberFormat="1"/>
    <xf numFmtId="2" fontId="0" fillId="0" borderId="0" xfId="0" applyNumberFormat="1"/>
    <xf numFmtId="1" fontId="23" fillId="35" borderId="22" xfId="44" applyNumberFormat="1" applyFont="1" applyFill="1" applyBorder="1" applyAlignment="1" applyProtection="1">
      <alignment horizontal="center" vertical="center"/>
      <protection locked="0"/>
    </xf>
    <xf numFmtId="1" fontId="23" fillId="35" borderId="23" xfId="44" applyNumberFormat="1" applyFont="1" applyFill="1" applyBorder="1" applyAlignment="1" applyProtection="1">
      <alignment horizontal="center" vertical="center"/>
      <protection locked="0"/>
    </xf>
    <xf numFmtId="0" fontId="14" fillId="0" borderId="0" xfId="0" applyFont="1"/>
    <xf numFmtId="165" fontId="0" fillId="33" borderId="16" xfId="1" applyNumberFormat="1" applyFont="1" applyFill="1" applyBorder="1"/>
    <xf numFmtId="164" fontId="0" fillId="33" borderId="16" xfId="1" applyNumberFormat="1" applyFont="1" applyFill="1" applyBorder="1"/>
    <xf numFmtId="0" fontId="0" fillId="0" borderId="14" xfId="0" applyBorder="1" applyAlignment="1">
      <alignment horizontal="center"/>
    </xf>
    <xf numFmtId="0" fontId="0" fillId="0" borderId="17" xfId="0" applyBorder="1" applyAlignment="1">
      <alignment horizontal="center"/>
    </xf>
    <xf numFmtId="0" fontId="0" fillId="0" borderId="15" xfId="0" applyBorder="1" applyAlignment="1">
      <alignment vertical="center" wrapText="1"/>
    </xf>
    <xf numFmtId="0" fontId="0" fillId="33" borderId="14" xfId="0" applyFill="1" applyBorder="1" applyAlignment="1">
      <alignment vertical="center"/>
    </xf>
    <xf numFmtId="0" fontId="0" fillId="33" borderId="17" xfId="0" applyFill="1" applyBorder="1" applyAlignment="1">
      <alignment vertical="center"/>
    </xf>
    <xf numFmtId="167" fontId="27" fillId="38" borderId="14" xfId="44" applyNumberFormat="1" applyFont="1" applyFill="1" applyBorder="1" applyAlignment="1" applyProtection="1">
      <alignment horizontal="center" vertical="center"/>
      <protection locked="0"/>
    </xf>
    <xf numFmtId="0" fontId="0" fillId="34" borderId="0" xfId="0" applyFill="1" applyAlignment="1">
      <alignment horizontal="left" vertical="top" wrapText="1"/>
    </xf>
    <xf numFmtId="0" fontId="25" fillId="0" borderId="0" xfId="0" applyFont="1" applyAlignment="1">
      <alignment horizontal="right" vertical="center" wrapText="1" indent="2"/>
    </xf>
    <xf numFmtId="0" fontId="25" fillId="0" borderId="0" xfId="0" applyFont="1" applyAlignment="1">
      <alignment horizontal="left" vertical="center" wrapText="1" indent="2"/>
    </xf>
    <xf numFmtId="0" fontId="20" fillId="34" borderId="0" xfId="0" applyFont="1" applyFill="1" applyAlignment="1">
      <alignment horizontal="center" vertical="top" wrapText="1"/>
    </xf>
    <xf numFmtId="0" fontId="24" fillId="34" borderId="20" xfId="0" applyFont="1" applyFill="1" applyBorder="1" applyAlignment="1">
      <alignment horizontal="left" vertical="center" wrapText="1"/>
    </xf>
    <xf numFmtId="0" fontId="24" fillId="34" borderId="21" xfId="0" applyFont="1" applyFill="1" applyBorder="1" applyAlignment="1">
      <alignment horizontal="left" vertical="center" wrapText="1"/>
    </xf>
    <xf numFmtId="0" fontId="24" fillId="0" borderId="0" xfId="0" applyFont="1" applyAlignment="1">
      <alignment horizontal="left" vertical="center" wrapText="1"/>
    </xf>
    <xf numFmtId="0" fontId="24" fillId="0" borderId="0" xfId="0" applyFont="1" applyAlignment="1">
      <alignment horizontal="left" vertical="center"/>
    </xf>
    <xf numFmtId="0" fontId="24" fillId="34" borderId="16" xfId="0" applyFont="1" applyFill="1" applyBorder="1" applyAlignment="1">
      <alignment horizontal="left" vertical="center" wrapText="1"/>
    </xf>
    <xf numFmtId="0" fontId="18" fillId="0" borderId="11" xfId="0" applyFont="1" applyBorder="1" applyAlignment="1">
      <alignment horizontal="center" vertical="center"/>
    </xf>
    <xf numFmtId="0" fontId="18" fillId="0" borderId="12" xfId="0" applyFont="1" applyBorder="1" applyAlignment="1">
      <alignment horizontal="center" vertical="center"/>
    </xf>
    <xf numFmtId="0" fontId="16" fillId="0" borderId="10" xfId="0" applyFont="1" applyBorder="1" applyAlignment="1">
      <alignment horizontal="center" vertical="center"/>
    </xf>
    <xf numFmtId="0" fontId="16" fillId="0" borderId="15" xfId="0" applyFont="1" applyBorder="1" applyAlignment="1">
      <alignment horizontal="center" vertical="center"/>
    </xf>
    <xf numFmtId="0" fontId="24" fillId="0" borderId="13" xfId="0" applyFont="1" applyBorder="1" applyAlignment="1">
      <alignment horizontal="center" vertical="center" wrapText="1"/>
    </xf>
  </cellXfs>
  <cellStyles count="52">
    <cellStyle name="20 % - Akzent6 2" xfId="48" xr:uid="{C1E5A862-5489-48D5-983E-3579C4F9F352}"/>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1" builtinId="3"/>
    <cellStyle name="Dezimal 3" xfId="46" xr:uid="{505C357E-A364-4780-8F56-A79BB9433282}"/>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43" builtinId="8"/>
    <cellStyle name="Hyperlink 2" xfId="45" xr:uid="{A2AD8CCF-DF49-40F0-88C8-7AB96C38B50E}"/>
    <cellStyle name="Input" xfId="10" builtinId="20" customBuiltin="1"/>
    <cellStyle name="Komma 2" xfId="51" xr:uid="{A5BD8BE7-CF44-4C11-A3B2-67186082A819}"/>
    <cellStyle name="Linked Cell" xfId="13" builtinId="24" customBuiltin="1"/>
    <cellStyle name="Neutral" xfId="9" builtinId="28" customBuiltin="1"/>
    <cellStyle name="Normal" xfId="0" builtinId="0"/>
    <cellStyle name="Note" xfId="16" builtinId="10" customBuiltin="1"/>
    <cellStyle name="Output" xfId="11" builtinId="21" customBuiltin="1"/>
    <cellStyle name="Prozent 10" xfId="49" xr:uid="{C88FEDEC-58B3-4EAC-903D-37452A575FC3}"/>
    <cellStyle name="Standard 2" xfId="47" xr:uid="{2F5B54CE-EBAC-4F1B-BDB4-B824BBD036C6}"/>
    <cellStyle name="Standard 4 26" xfId="50" xr:uid="{CCB7E67C-247A-48D2-9F58-349C6B742FE8}"/>
    <cellStyle name="Standard 9" xfId="44" xr:uid="{CCD13232-793A-4568-AA63-F9070AE392D3}"/>
    <cellStyle name="Title" xfId="2" builtinId="15" customBuiltin="1"/>
    <cellStyle name="Total" xfId="18" builtinId="25" customBuiltin="1"/>
    <cellStyle name="Warning Text" xfId="15" builtinId="11" customBuiltin="1"/>
  </cellStyles>
  <dxfs count="0"/>
  <tableStyles count="0" defaultTableStyle="TableStyleMedium2" defaultPivotStyle="PivotStyleLight16"/>
  <colors>
    <mruColors>
      <color rgb="FFFFE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733425</xdr:colOff>
      <xdr:row>1</xdr:row>
      <xdr:rowOff>20235</xdr:rowOff>
    </xdr:from>
    <xdr:to>
      <xdr:col>5</xdr:col>
      <xdr:colOff>629920</xdr:colOff>
      <xdr:row>5</xdr:row>
      <xdr:rowOff>14605</xdr:rowOff>
    </xdr:to>
    <xdr:pic>
      <xdr:nvPicPr>
        <xdr:cNvPr id="2" name="Billede 3" descr="Ein Bild, das Schrift, Grafiken, Grafikdesign, Logo enthält.&#10;&#10;Automatisch generierte Beschreibung">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33425" y="210735"/>
          <a:ext cx="3705225" cy="7512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723900</xdr:colOff>
      <xdr:row>26</xdr:row>
      <xdr:rowOff>66675</xdr:rowOff>
    </xdr:from>
    <xdr:to>
      <xdr:col>7</xdr:col>
      <xdr:colOff>342900</xdr:colOff>
      <xdr:row>31</xdr:row>
      <xdr:rowOff>114300</xdr:rowOff>
    </xdr:to>
    <xdr:pic>
      <xdr:nvPicPr>
        <xdr:cNvPr id="3" name="Billede 4" descr="Logo">
          <a:extLst>
            <a:ext uri="{FF2B5EF4-FFF2-40B4-BE49-F238E27FC236}">
              <a16:creationId xmlns:a16="http://schemas.microsoft.com/office/drawing/2014/main" id="{00000000-0008-0000-0100-000003000000}"/>
            </a:ext>
            <a:ext uri="{147F2762-F138-4A5C-976F-8EAC2B608ADB}">
              <a16:predDERef xmlns:a16="http://schemas.microsoft.com/office/drawing/2014/main" pred="{5DDA1118-FDC7-4806-9394-7AA49E164C3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71900" y="6019800"/>
          <a:ext cx="1905000" cy="1000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57150</xdr:colOff>
      <xdr:row>26</xdr:row>
      <xdr:rowOff>66675</xdr:rowOff>
    </xdr:from>
    <xdr:to>
      <xdr:col>16</xdr:col>
      <xdr:colOff>553720</xdr:colOff>
      <xdr:row>31</xdr:row>
      <xdr:rowOff>24765</xdr:rowOff>
    </xdr:to>
    <xdr:pic>
      <xdr:nvPicPr>
        <xdr:cNvPr id="4" name="Bild 1">
          <a:extLst>
            <a:ext uri="{FF2B5EF4-FFF2-40B4-BE49-F238E27FC236}">
              <a16:creationId xmlns:a16="http://schemas.microsoft.com/office/drawing/2014/main" id="{00000000-0008-0000-0100-000004000000}"/>
            </a:ext>
            <a:ext uri="{147F2762-F138-4A5C-976F-8EAC2B608ADB}">
              <a16:predDERef xmlns:a16="http://schemas.microsoft.com/office/drawing/2014/main" pred="{11FC1FFB-028E-0FDC-6460-505E64A0C15E}"/>
            </a:ext>
          </a:extLst>
        </xdr:cNvPr>
        <xdr:cNvPicPr>
          <a:picLocks noChangeAspect="1"/>
        </xdr:cNvPicPr>
      </xdr:nvPicPr>
      <xdr:blipFill>
        <a:blip xmlns:r="http://schemas.openxmlformats.org/officeDocument/2006/relationships" r:embed="rId3"/>
        <a:stretch>
          <a:fillRect/>
        </a:stretch>
      </xdr:blipFill>
      <xdr:spPr>
        <a:xfrm>
          <a:off x="5924550" y="5562600"/>
          <a:ext cx="6181725"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11</xdr:row>
          <xdr:rowOff>5443</xdr:rowOff>
        </xdr:from>
        <xdr:to>
          <xdr:col>7</xdr:col>
          <xdr:colOff>5443</xdr:colOff>
          <xdr:row>12</xdr:row>
          <xdr:rowOff>5443</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73152" tIns="73152" rIns="73152" bIns="73152" anchor="ctr" upright="1"/>
            <a:lstStyle/>
            <a:p>
              <a:pPr algn="ctr" rtl="0">
                <a:defRPr sz="1000"/>
              </a:pPr>
              <a:r>
                <a:rPr lang="en-AT" sz="1100" b="0" i="0" u="none" strike="noStrike" baseline="0">
                  <a:solidFill>
                    <a:srgbClr val="000000"/>
                  </a:solidFill>
                  <a:latin typeface="Aptos Narrow"/>
                </a:rPr>
                <a:t>Generate CSV input file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Kök, Ali" id="{BDBB792D-123D-4116-80A8-4CCB5943C634}" userId="S::ali.koek@tuwien.ac.at::cf6fa925-1299-4444-9ac8-ff6284848d57" providerId="AD"/>
</personList>
</file>

<file path=xl/theme/theme1.xml><?xml version="1.0" encoding="utf-8"?>
<a:theme xmlns:a="http://schemas.openxmlformats.org/drawingml/2006/main" name="Office-tema">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18" dT="2025-03-14T13:49:40.69" personId="{BDBB792D-123D-4116-80A8-4CCB5943C634}" id="{24C2BBFC-385A-48BF-866F-2FBBF2D98DE0}">
    <text>This is the average annual electricity price. The default hourly electricity price profile will be adjusted to match this average value.</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mailto:hummel@e-think.ac.at"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42946-4AE9-44B1-9FE2-1AC397AFA58D}">
  <sheetPr codeName="Sheet1">
    <tabColor theme="4" tint="0.79998168889431442"/>
  </sheetPr>
  <dimension ref="B4:O34"/>
  <sheetViews>
    <sheetView topLeftCell="A17" workbookViewId="0">
      <selection activeCell="E21" sqref="E21"/>
    </sheetView>
  </sheetViews>
  <sheetFormatPr defaultColWidth="11.4609375" defaultRowHeight="14.6" x14ac:dyDescent="0.85"/>
  <cols>
    <col min="1" max="7" width="11.4609375" style="34"/>
    <col min="8" max="8" width="8" style="34" customWidth="1"/>
    <col min="9" max="14" width="11.4609375" style="34"/>
    <col min="15" max="15" width="5.34375" style="34" customWidth="1"/>
    <col min="16" max="16384" width="11.4609375" style="34"/>
  </cols>
  <sheetData>
    <row r="4" spans="2:11" ht="14.65" x14ac:dyDescent="0.85">
      <c r="D4"/>
    </row>
    <row r="7" spans="2:11" ht="24" x14ac:dyDescent="0.85">
      <c r="B7" s="84" t="s">
        <v>48</v>
      </c>
      <c r="C7" s="84"/>
      <c r="D7" s="84"/>
      <c r="E7" s="84"/>
      <c r="F7" s="84"/>
      <c r="G7" s="84"/>
    </row>
    <row r="8" spans="2:11" ht="15" customHeight="1" x14ac:dyDescent="0.85">
      <c r="B8" s="49"/>
      <c r="C8" s="49"/>
      <c r="D8" s="49"/>
      <c r="E8" s="49"/>
      <c r="F8" s="49"/>
      <c r="G8" s="49"/>
    </row>
    <row r="9" spans="2:11" x14ac:dyDescent="0.85">
      <c r="B9" s="34" t="s">
        <v>49</v>
      </c>
      <c r="D9" s="34" t="s">
        <v>50</v>
      </c>
    </row>
    <row r="10" spans="2:11" ht="14.65" x14ac:dyDescent="0.85">
      <c r="B10" s="34" t="s">
        <v>51</v>
      </c>
      <c r="D10" s="35" t="s">
        <v>52</v>
      </c>
    </row>
    <row r="13" spans="2:11" ht="14.65" x14ac:dyDescent="0.85">
      <c r="B13" s="34" t="s">
        <v>53</v>
      </c>
      <c r="D13" s="36">
        <v>45589</v>
      </c>
    </row>
    <row r="14" spans="2:11" ht="14.65" x14ac:dyDescent="0.85">
      <c r="B14" s="34" t="s">
        <v>54</v>
      </c>
      <c r="D14" s="36"/>
    </row>
    <row r="16" spans="2:11" ht="34.4" customHeight="1" x14ac:dyDescent="0.85">
      <c r="B16" s="37" t="s">
        <v>55</v>
      </c>
      <c r="C16" s="37"/>
      <c r="D16" s="81" t="s">
        <v>56</v>
      </c>
      <c r="E16" s="81"/>
      <c r="F16" s="81"/>
      <c r="G16" s="81"/>
      <c r="H16" s="81"/>
      <c r="I16" s="81"/>
      <c r="J16" s="81"/>
      <c r="K16" s="81"/>
    </row>
    <row r="17" spans="2:11" ht="14.65" x14ac:dyDescent="0.85">
      <c r="B17" s="37" t="s">
        <v>57</v>
      </c>
      <c r="C17" s="37"/>
      <c r="D17" s="37" t="s">
        <v>58</v>
      </c>
      <c r="E17" s="37"/>
      <c r="F17" s="37"/>
      <c r="G17" s="37"/>
      <c r="H17" s="37"/>
      <c r="I17" s="37"/>
      <c r="J17" s="37"/>
      <c r="K17" s="37"/>
    </row>
    <row r="18" spans="2:11" ht="14.65" x14ac:dyDescent="0.85">
      <c r="B18" s="38"/>
      <c r="C18" s="37"/>
      <c r="D18" s="37"/>
      <c r="E18" s="37"/>
      <c r="F18" s="37"/>
      <c r="G18" s="37"/>
      <c r="H18" s="37"/>
      <c r="I18" s="37"/>
      <c r="J18" s="37"/>
      <c r="K18" s="37"/>
    </row>
    <row r="19" spans="2:11" ht="14.65" x14ac:dyDescent="0.85">
      <c r="B19" s="37" t="s">
        <v>59</v>
      </c>
      <c r="C19" s="37"/>
      <c r="D19" s="39"/>
      <c r="E19" s="40"/>
      <c r="F19" s="37"/>
      <c r="G19" s="37" t="s">
        <v>60</v>
      </c>
      <c r="H19" s="37"/>
      <c r="I19" s="37"/>
      <c r="J19" s="37"/>
      <c r="K19" s="37"/>
    </row>
    <row r="20" spans="2:11" ht="14.65" x14ac:dyDescent="0.85">
      <c r="B20" s="37"/>
      <c r="C20" s="37"/>
      <c r="D20" s="47"/>
      <c r="E20" s="48"/>
      <c r="F20" s="37"/>
      <c r="G20" s="37" t="s">
        <v>61</v>
      </c>
      <c r="H20" s="37"/>
      <c r="I20" s="37"/>
      <c r="J20" s="37"/>
      <c r="K20" s="37"/>
    </row>
    <row r="21" spans="2:11" ht="14.65" x14ac:dyDescent="0.85">
      <c r="B21" s="37"/>
      <c r="C21" s="37"/>
      <c r="D21" s="64"/>
      <c r="E21" s="65"/>
      <c r="F21" s="37"/>
      <c r="G21" s="37" t="s">
        <v>62</v>
      </c>
      <c r="H21" s="37"/>
      <c r="I21" s="37"/>
      <c r="J21" s="37"/>
      <c r="K21" s="37"/>
    </row>
    <row r="22" spans="2:11" ht="14.65" x14ac:dyDescent="0.85">
      <c r="B22" s="37"/>
      <c r="C22" s="37"/>
      <c r="D22" s="41"/>
      <c r="E22" s="42"/>
      <c r="F22" s="37"/>
      <c r="G22" s="37" t="s">
        <v>63</v>
      </c>
      <c r="H22" s="37"/>
      <c r="I22" s="37"/>
      <c r="J22" s="37"/>
      <c r="K22" s="37"/>
    </row>
    <row r="23" spans="2:11" ht="14.65" x14ac:dyDescent="0.85">
      <c r="B23" s="37"/>
      <c r="C23" s="37"/>
      <c r="D23" s="43" t="s">
        <v>64</v>
      </c>
      <c r="E23" s="44"/>
      <c r="F23" s="37"/>
      <c r="G23" s="37" t="s">
        <v>65</v>
      </c>
      <c r="H23" s="37"/>
      <c r="I23" s="37"/>
      <c r="J23" s="37"/>
      <c r="K23" s="37"/>
    </row>
    <row r="24" spans="2:11" ht="14.65" x14ac:dyDescent="0.85">
      <c r="B24" s="37"/>
      <c r="C24" s="37"/>
      <c r="D24" s="45"/>
      <c r="E24" s="46"/>
      <c r="F24" s="37"/>
      <c r="G24" s="37" t="s">
        <v>66</v>
      </c>
      <c r="H24" s="37"/>
      <c r="I24" s="37"/>
      <c r="J24" s="37"/>
      <c r="K24" s="37"/>
    </row>
    <row r="25" spans="2:11" ht="14.65" x14ac:dyDescent="0.85">
      <c r="B25" s="37"/>
      <c r="C25" s="37"/>
      <c r="D25" s="37"/>
      <c r="E25" s="37"/>
      <c r="F25" s="37"/>
      <c r="G25" s="37"/>
      <c r="H25" s="37"/>
      <c r="I25" s="37"/>
      <c r="J25" s="37"/>
      <c r="K25" s="37"/>
    </row>
    <row r="26" spans="2:11" ht="21.65" x14ac:dyDescent="0.85">
      <c r="B26" s="37"/>
      <c r="C26" s="37"/>
      <c r="D26" s="67"/>
      <c r="E26" s="37"/>
      <c r="F26" s="37"/>
      <c r="G26" s="37"/>
      <c r="H26" s="37"/>
      <c r="I26" s="37"/>
      <c r="J26" s="37"/>
      <c r="K26" s="37"/>
    </row>
    <row r="30" spans="2:11" ht="14.65" x14ac:dyDescent="0.85">
      <c r="E30"/>
    </row>
    <row r="33" spans="2:15" ht="45" customHeight="1" x14ac:dyDescent="0.85">
      <c r="B33" s="82" t="s">
        <v>67</v>
      </c>
      <c r="C33" s="82"/>
      <c r="D33" s="82"/>
      <c r="E33" s="82"/>
      <c r="F33" s="82"/>
      <c r="G33" s="82"/>
      <c r="H33" s="82"/>
      <c r="I33" s="83" t="s">
        <v>68</v>
      </c>
      <c r="J33" s="83"/>
      <c r="K33" s="83"/>
      <c r="L33" s="83"/>
      <c r="M33" s="83"/>
      <c r="N33" s="83"/>
      <c r="O33" s="83"/>
    </row>
    <row r="34" spans="2:15" x14ac:dyDescent="0.85">
      <c r="B34" s="82"/>
      <c r="C34" s="82"/>
      <c r="D34" s="82"/>
      <c r="E34" s="82"/>
      <c r="F34" s="82"/>
      <c r="G34" s="82"/>
      <c r="H34" s="82"/>
      <c r="I34" s="83"/>
      <c r="J34" s="83"/>
      <c r="K34" s="83"/>
      <c r="L34" s="83"/>
      <c r="M34" s="83"/>
      <c r="N34" s="83"/>
      <c r="O34" s="83"/>
    </row>
  </sheetData>
  <mergeCells count="4">
    <mergeCell ref="D16:K16"/>
    <mergeCell ref="B33:H34"/>
    <mergeCell ref="I33:O34"/>
    <mergeCell ref="B7:G7"/>
  </mergeCells>
  <hyperlinks>
    <hyperlink ref="D10" r:id="rId1" xr:uid="{ECBD2649-F371-4AEF-B63E-FEC92CD01FE6}"/>
  </hyperlinks>
  <pageMargins left="0.7" right="0.7" top="0.78740157499999996" bottom="0.78740157499999996"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E7822-DD4E-47B8-A91A-5F2D4C3B9666}">
  <sheetPr codeName="Sheet2">
    <tabColor theme="9" tint="0.39997558519241921"/>
  </sheetPr>
  <dimension ref="A1:Q29"/>
  <sheetViews>
    <sheetView tabSelected="1" zoomScale="70" zoomScaleNormal="70" workbookViewId="0">
      <selection activeCell="C7" sqref="C7"/>
    </sheetView>
  </sheetViews>
  <sheetFormatPr defaultColWidth="8.8828125" defaultRowHeight="14.6" x14ac:dyDescent="0.85"/>
  <cols>
    <col min="1" max="1" width="20.53515625" bestFit="1" customWidth="1"/>
    <col min="2" max="2" width="20.4609375" bestFit="1" customWidth="1"/>
    <col min="3" max="3" width="33.4609375" bestFit="1" customWidth="1"/>
    <col min="4" max="4" width="11.4609375" customWidth="1"/>
    <col min="5" max="5" width="10.8828125" customWidth="1"/>
    <col min="6" max="6" width="9" customWidth="1"/>
    <col min="7" max="7" width="12.4609375" bestFit="1" customWidth="1"/>
    <col min="8" max="8" width="14" customWidth="1"/>
    <col min="9" max="9" width="18" customWidth="1"/>
    <col min="10" max="10" width="14.34375" customWidth="1"/>
    <col min="11" max="11" width="14" customWidth="1"/>
    <col min="12" max="12" width="3" style="52" customWidth="1"/>
    <col min="13" max="13" width="23.4609375" customWidth="1"/>
    <col min="14" max="14" width="13.53515625" customWidth="1"/>
    <col min="15" max="15" width="10.53515625" customWidth="1"/>
    <col min="16" max="16" width="11.34375" customWidth="1"/>
  </cols>
  <sheetData>
    <row r="1" spans="1:17" ht="30.75" customHeight="1" x14ac:dyDescent="0.85">
      <c r="A1" s="87" t="s">
        <v>0</v>
      </c>
      <c r="B1" s="88"/>
      <c r="C1" s="88"/>
      <c r="D1" s="88"/>
      <c r="E1" s="88"/>
      <c r="F1" s="88"/>
      <c r="G1" s="88"/>
      <c r="H1" s="88"/>
      <c r="I1" s="88"/>
      <c r="J1" s="88"/>
      <c r="K1" s="88"/>
      <c r="M1" s="89" t="s">
        <v>1</v>
      </c>
      <c r="N1" s="89"/>
      <c r="O1" s="89"/>
      <c r="P1" s="89"/>
    </row>
    <row r="2" spans="1:17" ht="16.3" x14ac:dyDescent="0.85">
      <c r="M2" s="92" t="s">
        <v>2</v>
      </c>
      <c r="N2" s="90" t="s">
        <v>3</v>
      </c>
      <c r="O2" s="90"/>
      <c r="P2" s="91"/>
    </row>
    <row r="3" spans="1:17" s="1" customFormat="1" ht="29.15" x14ac:dyDescent="0.85">
      <c r="A3" s="17" t="s">
        <v>2</v>
      </c>
      <c r="B3" s="18" t="s">
        <v>3</v>
      </c>
      <c r="C3" s="18" t="s">
        <v>4</v>
      </c>
      <c r="D3" s="18" t="s">
        <v>5</v>
      </c>
      <c r="E3" s="18" t="s">
        <v>6</v>
      </c>
      <c r="F3" s="18" t="s">
        <v>7</v>
      </c>
      <c r="G3" s="18" t="s">
        <v>8</v>
      </c>
      <c r="H3" s="18" t="s">
        <v>9</v>
      </c>
      <c r="I3" s="18" t="s">
        <v>10</v>
      </c>
      <c r="J3" s="18" t="s">
        <v>11</v>
      </c>
      <c r="K3" s="19" t="s">
        <v>12</v>
      </c>
      <c r="L3" s="53"/>
      <c r="M3" s="93"/>
      <c r="N3" s="21" t="s">
        <v>13</v>
      </c>
      <c r="O3" s="21" t="s">
        <v>14</v>
      </c>
      <c r="P3" s="22" t="s">
        <v>15</v>
      </c>
      <c r="Q3" s="13" t="s">
        <v>16</v>
      </c>
    </row>
    <row r="4" spans="1:17" ht="14.65" x14ac:dyDescent="0.85">
      <c r="A4" s="2" t="s">
        <v>17</v>
      </c>
      <c r="B4" s="70">
        <v>0</v>
      </c>
      <c r="C4" s="70">
        <v>0</v>
      </c>
      <c r="D4" s="32">
        <v>0.76</v>
      </c>
      <c r="E4" s="32">
        <v>0.14000000000000001</v>
      </c>
      <c r="F4" s="32">
        <v>28</v>
      </c>
      <c r="G4" s="32" t="s">
        <v>18</v>
      </c>
      <c r="H4" s="31">
        <v>1055000</v>
      </c>
      <c r="I4" s="31">
        <v>2709</v>
      </c>
      <c r="J4" s="33">
        <v>0.6</v>
      </c>
      <c r="K4" s="58">
        <v>100</v>
      </c>
      <c r="M4" s="25" t="str">
        <f>A4</f>
        <v>Back Pressure CHP</v>
      </c>
      <c r="N4" s="26">
        <v>0</v>
      </c>
      <c r="P4" s="3"/>
    </row>
    <row r="5" spans="1:17" ht="14.75" customHeight="1" x14ac:dyDescent="0.85">
      <c r="A5" s="2" t="s">
        <v>19</v>
      </c>
      <c r="B5" s="70">
        <v>0</v>
      </c>
      <c r="C5" s="70">
        <v>0</v>
      </c>
      <c r="D5" s="32">
        <v>0.6</v>
      </c>
      <c r="E5" s="32">
        <v>0.2</v>
      </c>
      <c r="F5" s="32">
        <v>25</v>
      </c>
      <c r="G5" s="32" t="s">
        <v>20</v>
      </c>
      <c r="H5" s="31">
        <v>3200000</v>
      </c>
      <c r="I5" s="31">
        <v>90000</v>
      </c>
      <c r="J5" s="33">
        <v>0.5</v>
      </c>
      <c r="K5" s="58">
        <v>100</v>
      </c>
      <c r="M5" s="15" t="str">
        <f t="shared" ref="M5:M9" si="0">A5</f>
        <v>Waste Incineration Plant</v>
      </c>
      <c r="N5">
        <v>0</v>
      </c>
      <c r="P5" s="3"/>
    </row>
    <row r="6" spans="1:17" ht="14.65" x14ac:dyDescent="0.85">
      <c r="A6" s="2" t="s">
        <v>21</v>
      </c>
      <c r="B6" s="70">
        <v>0</v>
      </c>
      <c r="C6" s="70">
        <v>0</v>
      </c>
      <c r="D6" s="32">
        <v>0.875</v>
      </c>
      <c r="E6" s="55" t="s">
        <v>22</v>
      </c>
      <c r="F6" s="32">
        <v>25</v>
      </c>
      <c r="G6" s="32" t="s">
        <v>23</v>
      </c>
      <c r="H6" s="31">
        <v>107000</v>
      </c>
      <c r="I6" s="31">
        <v>200</v>
      </c>
      <c r="J6" s="33">
        <v>0.6</v>
      </c>
      <c r="K6" s="60" t="s">
        <v>22</v>
      </c>
      <c r="M6" s="15" t="str">
        <f t="shared" si="0"/>
        <v>Heat Boiler</v>
      </c>
      <c r="N6">
        <v>0</v>
      </c>
      <c r="P6" s="3"/>
    </row>
    <row r="7" spans="1:17" ht="14.65" x14ac:dyDescent="0.85">
      <c r="A7" s="2" t="s">
        <v>24</v>
      </c>
      <c r="B7" s="70">
        <v>0</v>
      </c>
      <c r="C7" s="70">
        <v>0</v>
      </c>
      <c r="D7" s="55" t="s">
        <v>22</v>
      </c>
      <c r="E7" s="55" t="s">
        <v>22</v>
      </c>
      <c r="F7" s="32">
        <v>25</v>
      </c>
      <c r="G7" s="59" t="s">
        <v>25</v>
      </c>
      <c r="H7" s="31">
        <v>838000</v>
      </c>
      <c r="I7" s="31">
        <v>21000</v>
      </c>
      <c r="J7" s="33">
        <v>0.5</v>
      </c>
      <c r="K7" s="60" t="s">
        <v>22</v>
      </c>
      <c r="M7" s="15" t="str">
        <f t="shared" si="0"/>
        <v>Air Source Heat Pump</v>
      </c>
      <c r="N7">
        <v>0</v>
      </c>
      <c r="P7" s="3"/>
    </row>
    <row r="8" spans="1:17" ht="14.65" x14ac:dyDescent="0.85">
      <c r="A8" s="2" t="s">
        <v>26</v>
      </c>
      <c r="B8" s="70">
        <v>0</v>
      </c>
      <c r="C8" s="70">
        <v>0</v>
      </c>
      <c r="D8" s="32">
        <v>1</v>
      </c>
      <c r="E8" s="55" t="s">
        <v>22</v>
      </c>
      <c r="F8" s="32">
        <v>25</v>
      </c>
      <c r="G8" s="59" t="s">
        <v>27</v>
      </c>
      <c r="H8" s="31">
        <v>334000</v>
      </c>
      <c r="I8" s="31">
        <v>28040</v>
      </c>
      <c r="J8" s="33">
        <v>0.5</v>
      </c>
      <c r="K8" s="60" t="s">
        <v>22</v>
      </c>
      <c r="M8" s="15" t="str">
        <f t="shared" si="0"/>
        <v>Solar Thermal</v>
      </c>
      <c r="N8">
        <v>0</v>
      </c>
      <c r="P8" s="3"/>
    </row>
    <row r="9" spans="1:17" ht="17.5" customHeight="1" x14ac:dyDescent="0.85">
      <c r="A9" s="5" t="s">
        <v>28</v>
      </c>
      <c r="B9" s="71">
        <v>0</v>
      </c>
      <c r="C9" s="71">
        <v>0</v>
      </c>
      <c r="D9" s="57">
        <v>1</v>
      </c>
      <c r="E9" s="56" t="s">
        <v>22</v>
      </c>
      <c r="F9" s="57">
        <v>20</v>
      </c>
      <c r="G9" s="57" t="s">
        <v>29</v>
      </c>
      <c r="H9" s="73">
        <v>500000</v>
      </c>
      <c r="I9" s="73">
        <v>5000</v>
      </c>
      <c r="J9" s="74">
        <v>0.5</v>
      </c>
      <c r="K9" s="61" t="s">
        <v>22</v>
      </c>
      <c r="M9" s="16" t="str">
        <f t="shared" si="0"/>
        <v>Excess Heat (direct-use)</v>
      </c>
      <c r="N9" s="6">
        <v>0</v>
      </c>
      <c r="O9" s="6"/>
      <c r="P9" s="9"/>
    </row>
    <row r="10" spans="1:17" ht="14.65" x14ac:dyDescent="0.85">
      <c r="A10" s="1"/>
      <c r="E10" s="4"/>
      <c r="H10" s="11"/>
      <c r="I10" s="11"/>
      <c r="J10" s="10"/>
      <c r="K10" s="14"/>
    </row>
    <row r="11" spans="1:17" ht="16.3" x14ac:dyDescent="0.85">
      <c r="A11" s="1"/>
      <c r="M11" s="92" t="s">
        <v>30</v>
      </c>
      <c r="N11" s="90" t="s">
        <v>31</v>
      </c>
      <c r="O11" s="90"/>
      <c r="P11" s="91"/>
    </row>
    <row r="12" spans="1:17" ht="29" customHeight="1" x14ac:dyDescent="0.85">
      <c r="A12" s="17" t="s">
        <v>30</v>
      </c>
      <c r="B12" s="18" t="s">
        <v>32</v>
      </c>
      <c r="C12" s="19" t="s">
        <v>33</v>
      </c>
      <c r="D12" s="66"/>
      <c r="F12" s="54"/>
      <c r="M12" s="93"/>
      <c r="N12" s="23" t="s">
        <v>13</v>
      </c>
      <c r="O12" s="23" t="s">
        <v>14</v>
      </c>
      <c r="P12" s="24" t="s">
        <v>15</v>
      </c>
      <c r="Q12" s="13" t="s">
        <v>16</v>
      </c>
    </row>
    <row r="13" spans="1:17" ht="14.75" customHeight="1" x14ac:dyDescent="0.85">
      <c r="A13" s="8" t="s">
        <v>23</v>
      </c>
      <c r="B13" s="32">
        <v>0.126</v>
      </c>
      <c r="C13" s="62">
        <v>120</v>
      </c>
      <c r="D13" s="94" t="s">
        <v>34</v>
      </c>
      <c r="M13" s="25" t="str">
        <f>A13</f>
        <v>bio gas</v>
      </c>
      <c r="N13" s="26">
        <v>0</v>
      </c>
      <c r="O13" s="26"/>
      <c r="P13" s="27"/>
    </row>
    <row r="14" spans="1:17" x14ac:dyDescent="0.85">
      <c r="A14" s="2" t="s">
        <v>20</v>
      </c>
      <c r="B14" s="32">
        <v>0.02</v>
      </c>
      <c r="C14" s="62">
        <v>3</v>
      </c>
      <c r="D14" s="94"/>
      <c r="M14" s="15" t="str">
        <f t="shared" ref="M14:M19" si="1">A14</f>
        <v>waste</v>
      </c>
      <c r="N14">
        <v>0</v>
      </c>
      <c r="P14" s="3"/>
    </row>
    <row r="15" spans="1:17" x14ac:dyDescent="0.85">
      <c r="A15" s="2" t="s">
        <v>18</v>
      </c>
      <c r="B15" s="32">
        <v>0</v>
      </c>
      <c r="C15" s="62">
        <v>35</v>
      </c>
      <c r="D15" s="94"/>
      <c r="M15" s="15" t="str">
        <f t="shared" si="1"/>
        <v>wood pellets</v>
      </c>
      <c r="N15">
        <v>0</v>
      </c>
      <c r="P15" s="3"/>
    </row>
    <row r="16" spans="1:17" x14ac:dyDescent="0.85">
      <c r="A16" s="2" t="s">
        <v>27</v>
      </c>
      <c r="B16" s="59">
        <v>0</v>
      </c>
      <c r="C16" s="62">
        <v>0</v>
      </c>
      <c r="D16" s="94"/>
      <c r="M16" s="15" t="str">
        <f t="shared" si="1"/>
        <v>radiation</v>
      </c>
      <c r="N16">
        <v>0</v>
      </c>
      <c r="P16" s="3"/>
    </row>
    <row r="17" spans="1:17" x14ac:dyDescent="0.85">
      <c r="A17" s="2" t="s">
        <v>29</v>
      </c>
      <c r="B17" s="32">
        <v>0</v>
      </c>
      <c r="C17" s="62">
        <v>40</v>
      </c>
      <c r="D17" s="94"/>
      <c r="H17" s="12"/>
      <c r="M17" s="15" t="str">
        <f t="shared" si="1"/>
        <v>excess heat</v>
      </c>
      <c r="N17">
        <v>0</v>
      </c>
      <c r="P17" s="3"/>
    </row>
    <row r="18" spans="1:17" x14ac:dyDescent="0.85">
      <c r="A18" s="2" t="s">
        <v>25</v>
      </c>
      <c r="B18" s="32">
        <v>0</v>
      </c>
      <c r="C18" s="62">
        <v>120</v>
      </c>
      <c r="D18" s="94"/>
      <c r="M18" s="15" t="str">
        <f t="shared" si="1"/>
        <v>electricity</v>
      </c>
      <c r="N18">
        <v>0</v>
      </c>
      <c r="P18" s="3"/>
    </row>
    <row r="19" spans="1:17" x14ac:dyDescent="0.85">
      <c r="A19" s="5" t="s">
        <v>35</v>
      </c>
      <c r="B19" s="57">
        <v>0</v>
      </c>
      <c r="C19" s="63">
        <v>22</v>
      </c>
      <c r="D19" s="94"/>
      <c r="M19" s="16" t="str">
        <f t="shared" si="1"/>
        <v xml:space="preserve">various </v>
      </c>
      <c r="N19" s="6">
        <v>0</v>
      </c>
      <c r="O19" s="6"/>
      <c r="P19" s="9"/>
    </row>
    <row r="20" spans="1:17" ht="14.65" x14ac:dyDescent="0.85">
      <c r="A20" s="1"/>
    </row>
    <row r="21" spans="1:17" ht="14.65" x14ac:dyDescent="0.85">
      <c r="A21" s="17" t="s">
        <v>36</v>
      </c>
      <c r="B21" s="20" t="s">
        <v>37</v>
      </c>
      <c r="M21" s="28" t="s">
        <v>36</v>
      </c>
      <c r="N21" s="29" t="s">
        <v>13</v>
      </c>
      <c r="O21" s="29" t="s">
        <v>14</v>
      </c>
      <c r="P21" s="29" t="s">
        <v>15</v>
      </c>
    </row>
    <row r="22" spans="1:17" ht="29.15" x14ac:dyDescent="0.85">
      <c r="A22" s="8" t="s">
        <v>38</v>
      </c>
      <c r="B22" s="78" t="s">
        <v>39</v>
      </c>
      <c r="M22" s="25" t="str">
        <f t="shared" ref="M22:M29" si="2">A22</f>
        <v>Mode of operation</v>
      </c>
      <c r="N22" s="1" t="s">
        <v>39</v>
      </c>
      <c r="O22" s="50" t="s">
        <v>39</v>
      </c>
      <c r="P22" s="51" t="s">
        <v>39</v>
      </c>
      <c r="Q22" s="13" t="s">
        <v>16</v>
      </c>
    </row>
    <row r="23" spans="1:17" ht="77.25" customHeight="1" x14ac:dyDescent="0.85">
      <c r="A23" s="8" t="s">
        <v>40</v>
      </c>
      <c r="B23" s="80">
        <v>0</v>
      </c>
      <c r="C23" s="85" t="s">
        <v>41</v>
      </c>
      <c r="D23" s="85"/>
      <c r="E23" s="85"/>
      <c r="F23" s="86"/>
      <c r="M23" s="2" t="str">
        <f t="shared" si="2"/>
        <v xml:space="preserve">District heating demand (incl. grid losses) [MWh] </v>
      </c>
      <c r="P23" s="3"/>
    </row>
    <row r="24" spans="1:17" ht="14.65" x14ac:dyDescent="0.85">
      <c r="A24" s="8" t="s">
        <v>42</v>
      </c>
      <c r="B24" s="78">
        <v>150</v>
      </c>
      <c r="M24" s="15" t="str">
        <f t="shared" si="2"/>
        <v>CO2 Price [EUR/tCO2]</v>
      </c>
      <c r="P24" s="3"/>
    </row>
    <row r="25" spans="1:17" ht="14.65" x14ac:dyDescent="0.85">
      <c r="A25" s="8" t="s">
        <v>43</v>
      </c>
      <c r="B25" s="78">
        <v>4</v>
      </c>
      <c r="M25" s="15" t="str">
        <f t="shared" si="2"/>
        <v>Interest rate [%]</v>
      </c>
      <c r="P25" s="3"/>
    </row>
    <row r="26" spans="1:17" ht="14.65" x14ac:dyDescent="0.85">
      <c r="A26" s="8" t="s">
        <v>44</v>
      </c>
      <c r="B26" s="78">
        <v>70</v>
      </c>
      <c r="M26" s="15" t="str">
        <f t="shared" si="2"/>
        <v xml:space="preserve">Max. flow temperature </v>
      </c>
      <c r="P26" s="3"/>
    </row>
    <row r="27" spans="1:17" ht="29.15" x14ac:dyDescent="0.85">
      <c r="A27" s="8" t="s">
        <v>45</v>
      </c>
      <c r="B27" s="78">
        <v>60</v>
      </c>
      <c r="M27" s="15" t="str">
        <f t="shared" si="2"/>
        <v>Min. flow temperature [°C]</v>
      </c>
      <c r="P27" s="3"/>
    </row>
    <row r="28" spans="1:17" ht="29.15" x14ac:dyDescent="0.85">
      <c r="A28" s="8" t="s">
        <v>46</v>
      </c>
      <c r="B28" s="78">
        <v>45</v>
      </c>
      <c r="M28" s="15" t="str">
        <f t="shared" si="2"/>
        <v>Max. return temperature [°C]</v>
      </c>
      <c r="P28" s="3"/>
    </row>
    <row r="29" spans="1:17" ht="29.15" x14ac:dyDescent="0.85">
      <c r="A29" s="77" t="s">
        <v>47</v>
      </c>
      <c r="B29" s="79">
        <v>40</v>
      </c>
      <c r="M29" s="16" t="str">
        <f t="shared" si="2"/>
        <v>Min. return temperature [°C]</v>
      </c>
      <c r="N29" s="6"/>
      <c r="O29" s="6"/>
      <c r="P29" s="9"/>
    </row>
  </sheetData>
  <mergeCells count="8">
    <mergeCell ref="C23:F23"/>
    <mergeCell ref="A1:K1"/>
    <mergeCell ref="M1:P1"/>
    <mergeCell ref="N2:P2"/>
    <mergeCell ref="N11:P11"/>
    <mergeCell ref="M2:M3"/>
    <mergeCell ref="M11:M12"/>
    <mergeCell ref="D13:D19"/>
  </mergeCells>
  <dataValidations disablePrompts="1" count="2">
    <dataValidation type="list" allowBlank="1" showInputMessage="1" showErrorMessage="1" sqref="G4:G10" xr:uid="{78F27C82-4291-4091-8D78-5D09D9531B64}">
      <formula1>$A$13:$A$19</formula1>
    </dataValidation>
    <dataValidation type="list" allowBlank="1" showInputMessage="1" showErrorMessage="1" sqref="B22 N22:P22" xr:uid="{B9D2C1FD-9544-408E-BF64-502A41E827B8}">
      <formula1>"Investment + dispatch,Dispatch only"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ToCSV">
                <anchor moveWithCells="1" sizeWithCells="1">
                  <from>
                    <xdr:col>5</xdr:col>
                    <xdr:colOff>0</xdr:colOff>
                    <xdr:row>11</xdr:row>
                    <xdr:rowOff>5443</xdr:rowOff>
                  </from>
                  <to>
                    <xdr:col>7</xdr:col>
                    <xdr:colOff>5443</xdr:colOff>
                    <xdr:row>12</xdr:row>
                    <xdr:rowOff>5443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85402-F613-41BC-A46C-1EB791B53AC8}">
  <sheetPr codeName="Sheet3">
    <tabColor theme="9" tint="0.79998168889431442"/>
  </sheetPr>
  <dimension ref="A2:N28"/>
  <sheetViews>
    <sheetView workbookViewId="0">
      <selection activeCell="H14" sqref="H14"/>
    </sheetView>
  </sheetViews>
  <sheetFormatPr defaultColWidth="8.8828125" defaultRowHeight="14.6" x14ac:dyDescent="0.85"/>
  <cols>
    <col min="1" max="1" width="20.53515625" bestFit="1" customWidth="1"/>
    <col min="2" max="2" width="18.4609375" customWidth="1"/>
    <col min="3" max="3" width="33.4609375" bestFit="1" customWidth="1"/>
    <col min="4" max="5" width="9" bestFit="1" customWidth="1"/>
    <col min="6" max="6" width="7.53515625" bestFit="1" customWidth="1"/>
    <col min="7" max="7" width="10.8828125" bestFit="1" customWidth="1"/>
    <col min="8" max="8" width="12.4609375" customWidth="1"/>
    <col min="9" max="9" width="15.53515625" bestFit="1" customWidth="1"/>
    <col min="10" max="11" width="12.8828125" customWidth="1"/>
    <col min="14" max="14" width="104.53515625" bestFit="1" customWidth="1"/>
  </cols>
  <sheetData>
    <row r="2" spans="1:14" ht="43.8" x14ac:dyDescent="0.85">
      <c r="A2" s="17" t="s">
        <v>2</v>
      </c>
      <c r="B2" s="18" t="s">
        <v>3</v>
      </c>
      <c r="C2" s="18" t="s">
        <v>4</v>
      </c>
      <c r="D2" s="18" t="s">
        <v>5</v>
      </c>
      <c r="E2" s="18" t="s">
        <v>6</v>
      </c>
      <c r="F2" s="18" t="s">
        <v>7</v>
      </c>
      <c r="G2" s="18" t="s">
        <v>8</v>
      </c>
      <c r="H2" s="18" t="s">
        <v>9</v>
      </c>
      <c r="I2" s="18" t="s">
        <v>10</v>
      </c>
      <c r="J2" s="18" t="s">
        <v>11</v>
      </c>
      <c r="K2" s="19" t="s">
        <v>12</v>
      </c>
      <c r="M2" s="17" t="s">
        <v>69</v>
      </c>
      <c r="N2" s="19" t="s">
        <v>70</v>
      </c>
    </row>
    <row r="3" spans="1:14" x14ac:dyDescent="0.85">
      <c r="A3" s="2" t="s">
        <v>17</v>
      </c>
      <c r="D3" t="s">
        <v>71</v>
      </c>
      <c r="E3" t="s">
        <v>71</v>
      </c>
      <c r="F3" t="s">
        <v>71</v>
      </c>
      <c r="H3" t="s">
        <v>71</v>
      </c>
      <c r="I3" t="s">
        <v>71</v>
      </c>
      <c r="J3" t="s">
        <v>71</v>
      </c>
      <c r="K3" s="27" t="s">
        <v>72</v>
      </c>
      <c r="M3" s="15">
        <v>1</v>
      </c>
      <c r="N3" s="3" t="s">
        <v>73</v>
      </c>
    </row>
    <row r="4" spans="1:14" ht="14.65" x14ac:dyDescent="0.85">
      <c r="A4" s="2" t="s">
        <v>19</v>
      </c>
      <c r="D4" t="s">
        <v>72</v>
      </c>
      <c r="E4" t="s">
        <v>72</v>
      </c>
      <c r="F4" t="s">
        <v>72</v>
      </c>
      <c r="H4" t="s">
        <v>72</v>
      </c>
      <c r="I4" t="s">
        <v>72</v>
      </c>
      <c r="J4" t="s">
        <v>72</v>
      </c>
      <c r="K4" s="3" t="s">
        <v>72</v>
      </c>
      <c r="M4" s="15">
        <v>2</v>
      </c>
      <c r="N4" s="3"/>
    </row>
    <row r="5" spans="1:14" x14ac:dyDescent="0.85">
      <c r="A5" s="2" t="s">
        <v>21</v>
      </c>
      <c r="D5" t="s">
        <v>74</v>
      </c>
      <c r="E5" s="4" t="s">
        <v>22</v>
      </c>
      <c r="F5" t="s">
        <v>74</v>
      </c>
      <c r="H5" t="s">
        <v>74</v>
      </c>
      <c r="I5" t="s">
        <v>74</v>
      </c>
      <c r="J5" t="s">
        <v>72</v>
      </c>
      <c r="K5" s="75" t="s">
        <v>22</v>
      </c>
      <c r="M5" s="15">
        <v>3</v>
      </c>
      <c r="N5" s="3" t="s">
        <v>75</v>
      </c>
    </row>
    <row r="6" spans="1:14" x14ac:dyDescent="0.85">
      <c r="A6" s="2" t="s">
        <v>24</v>
      </c>
      <c r="D6" s="4" t="s">
        <v>22</v>
      </c>
      <c r="E6" s="4" t="s">
        <v>22</v>
      </c>
      <c r="F6" t="s">
        <v>76</v>
      </c>
      <c r="H6" t="s">
        <v>76</v>
      </c>
      <c r="I6" t="s">
        <v>76</v>
      </c>
      <c r="J6" t="s">
        <v>72</v>
      </c>
      <c r="K6" s="75" t="s">
        <v>22</v>
      </c>
      <c r="M6" s="15">
        <v>4</v>
      </c>
      <c r="N6" s="3" t="s">
        <v>77</v>
      </c>
    </row>
    <row r="7" spans="1:14" x14ac:dyDescent="0.85">
      <c r="A7" s="2" t="s">
        <v>26</v>
      </c>
      <c r="D7" t="s">
        <v>72</v>
      </c>
      <c r="E7" s="4" t="s">
        <v>22</v>
      </c>
      <c r="F7" t="s">
        <v>78</v>
      </c>
      <c r="H7" t="s">
        <v>78</v>
      </c>
      <c r="I7" t="s">
        <v>78</v>
      </c>
      <c r="J7" t="s">
        <v>72</v>
      </c>
      <c r="K7" s="75" t="s">
        <v>22</v>
      </c>
      <c r="M7" s="15">
        <v>5</v>
      </c>
      <c r="N7" s="3" t="s">
        <v>79</v>
      </c>
    </row>
    <row r="8" spans="1:14" ht="14.65" x14ac:dyDescent="0.85">
      <c r="A8" s="5" t="s">
        <v>28</v>
      </c>
      <c r="B8" s="6"/>
      <c r="C8" s="6"/>
      <c r="D8" s="6" t="s">
        <v>80</v>
      </c>
      <c r="E8" s="7" t="s">
        <v>22</v>
      </c>
      <c r="F8" s="6" t="s">
        <v>80</v>
      </c>
      <c r="G8" s="6"/>
      <c r="H8" s="6" t="s">
        <v>80</v>
      </c>
      <c r="I8" s="6" t="s">
        <v>80</v>
      </c>
      <c r="J8" s="6" t="s">
        <v>80</v>
      </c>
      <c r="K8" s="76" t="s">
        <v>22</v>
      </c>
      <c r="M8" s="15">
        <v>6</v>
      </c>
      <c r="N8" s="3"/>
    </row>
    <row r="9" spans="1:14" x14ac:dyDescent="0.85">
      <c r="A9" s="1"/>
      <c r="E9" s="4"/>
      <c r="H9" s="11"/>
      <c r="I9" s="11"/>
      <c r="J9" s="10"/>
      <c r="K9" s="14"/>
      <c r="M9" s="15">
        <v>7</v>
      </c>
      <c r="N9" s="3" t="s">
        <v>81</v>
      </c>
    </row>
    <row r="10" spans="1:14" ht="14.65" x14ac:dyDescent="0.85">
      <c r="A10" s="1"/>
      <c r="M10" s="15">
        <v>8</v>
      </c>
      <c r="N10" s="3" t="s">
        <v>82</v>
      </c>
    </row>
    <row r="11" spans="1:14" ht="29.15" x14ac:dyDescent="0.85">
      <c r="A11" s="17" t="s">
        <v>30</v>
      </c>
      <c r="B11" s="18" t="s">
        <v>32</v>
      </c>
      <c r="C11" s="19" t="s">
        <v>31</v>
      </c>
      <c r="M11" s="16">
        <v>9</v>
      </c>
      <c r="N11" s="9" t="s">
        <v>83</v>
      </c>
    </row>
    <row r="12" spans="1:14" ht="14.65" x14ac:dyDescent="0.85">
      <c r="A12" s="8" t="s">
        <v>84</v>
      </c>
      <c r="B12" t="s">
        <v>85</v>
      </c>
      <c r="C12" s="3" t="s">
        <v>72</v>
      </c>
    </row>
    <row r="13" spans="1:14" x14ac:dyDescent="0.85">
      <c r="A13" s="2" t="s">
        <v>86</v>
      </c>
      <c r="B13" t="s">
        <v>85</v>
      </c>
      <c r="C13" s="3" t="s">
        <v>72</v>
      </c>
    </row>
    <row r="14" spans="1:14" x14ac:dyDescent="0.85">
      <c r="A14" s="2" t="s">
        <v>87</v>
      </c>
      <c r="C14" s="3" t="s">
        <v>72</v>
      </c>
    </row>
    <row r="15" spans="1:14" x14ac:dyDescent="0.85">
      <c r="A15" s="2" t="s">
        <v>27</v>
      </c>
      <c r="C15" s="3" t="s">
        <v>72</v>
      </c>
    </row>
    <row r="16" spans="1:14" x14ac:dyDescent="0.85">
      <c r="A16" s="2" t="s">
        <v>29</v>
      </c>
      <c r="C16" s="3" t="s">
        <v>72</v>
      </c>
      <c r="H16" s="12"/>
    </row>
    <row r="17" spans="1:3" x14ac:dyDescent="0.85">
      <c r="A17" s="2" t="s">
        <v>25</v>
      </c>
      <c r="B17" t="s">
        <v>85</v>
      </c>
      <c r="C17" s="3" t="s">
        <v>72</v>
      </c>
    </row>
    <row r="18" spans="1:3" x14ac:dyDescent="0.85">
      <c r="A18" s="5" t="s">
        <v>35</v>
      </c>
      <c r="B18" s="6"/>
      <c r="C18" s="9" t="s">
        <v>72</v>
      </c>
    </row>
    <row r="19" spans="1:3" x14ac:dyDescent="0.85">
      <c r="A19" s="1"/>
    </row>
    <row r="20" spans="1:3" x14ac:dyDescent="0.85">
      <c r="A20" s="17" t="s">
        <v>36</v>
      </c>
      <c r="B20" s="20" t="s">
        <v>37</v>
      </c>
    </row>
    <row r="21" spans="1:3" x14ac:dyDescent="0.85">
      <c r="A21" s="2" t="s">
        <v>38</v>
      </c>
      <c r="B21" s="3"/>
    </row>
    <row r="22" spans="1:3" ht="29.15" x14ac:dyDescent="0.85">
      <c r="A22" s="2" t="s">
        <v>40</v>
      </c>
      <c r="B22" s="30"/>
      <c r="C22" s="72"/>
    </row>
    <row r="23" spans="1:3" x14ac:dyDescent="0.85">
      <c r="A23" s="2" t="s">
        <v>42</v>
      </c>
      <c r="B23" s="3" t="s">
        <v>80</v>
      </c>
    </row>
    <row r="24" spans="1:3" x14ac:dyDescent="0.85">
      <c r="A24" s="2" t="s">
        <v>43</v>
      </c>
      <c r="B24" s="3" t="s">
        <v>80</v>
      </c>
    </row>
    <row r="25" spans="1:3" x14ac:dyDescent="0.85">
      <c r="A25" s="2" t="s">
        <v>44</v>
      </c>
      <c r="B25" s="3" t="s">
        <v>80</v>
      </c>
    </row>
    <row r="26" spans="1:3" ht="29.15" x14ac:dyDescent="0.85">
      <c r="A26" s="2" t="s">
        <v>45</v>
      </c>
      <c r="B26" s="3" t="s">
        <v>80</v>
      </c>
    </row>
    <row r="27" spans="1:3" ht="29.15" x14ac:dyDescent="0.85">
      <c r="A27" s="2" t="s">
        <v>46</v>
      </c>
      <c r="B27" s="3" t="s">
        <v>80</v>
      </c>
    </row>
    <row r="28" spans="1:3" ht="29.15" x14ac:dyDescent="0.85">
      <c r="A28" s="5" t="s">
        <v>47</v>
      </c>
      <c r="B28" s="9" t="s">
        <v>80</v>
      </c>
    </row>
  </sheetData>
  <dataValidations count="2">
    <dataValidation type="list" allowBlank="1" showInputMessage="1" showErrorMessage="1" sqref="B21" xr:uid="{AB8DF1DC-3429-4198-8187-09CFD5699FCF}">
      <formula1>"Investment + dispatch,Dispatch only"</formula1>
    </dataValidation>
    <dataValidation type="list" allowBlank="1" showInputMessage="1" showErrorMessage="1" sqref="G3:G9" xr:uid="{09DD0FA4-372C-4DE1-9436-A1BC1262F4BD}">
      <formula1>$A$12:$A$18</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00FF1-D030-4F08-9A89-541C6592B627}">
  <sheetPr codeName="Sheet4">
    <tabColor theme="0"/>
  </sheetPr>
  <dimension ref="A1:C89"/>
  <sheetViews>
    <sheetView zoomScaleNormal="100" workbookViewId="0"/>
  </sheetViews>
  <sheetFormatPr defaultColWidth="8.8828125" defaultRowHeight="14.6" x14ac:dyDescent="0.85"/>
  <cols>
    <col min="1" max="1" width="77.34375" style="68" bestFit="1" customWidth="1"/>
    <col min="2" max="2" width="10.34375" bestFit="1" customWidth="1"/>
    <col min="3" max="3" width="8.8828125" style="68"/>
  </cols>
  <sheetData>
    <row r="1" spans="1:3" x14ac:dyDescent="0.85">
      <c r="A1"/>
    </row>
    <row r="2" spans="1:3" x14ac:dyDescent="0.85">
      <c r="A2" s="68" t="s">
        <v>88</v>
      </c>
    </row>
    <row r="3" spans="1:3" x14ac:dyDescent="0.85">
      <c r="A3" s="68" t="s">
        <v>187</v>
      </c>
      <c r="B3" t="s">
        <v>89</v>
      </c>
      <c r="C3" s="68" t="s">
        <v>90</v>
      </c>
    </row>
    <row r="4" spans="1:3" x14ac:dyDescent="0.85">
      <c r="A4" s="68" t="s">
        <v>91</v>
      </c>
      <c r="B4" s="69">
        <f>'Data to Fill'!B4</f>
        <v>0</v>
      </c>
      <c r="C4" s="68" t="s">
        <v>92</v>
      </c>
    </row>
    <row r="5" spans="1:3" x14ac:dyDescent="0.85">
      <c r="A5" s="68" t="s">
        <v>180</v>
      </c>
      <c r="B5" s="69">
        <f>'Data to Fill'!C4</f>
        <v>0</v>
      </c>
      <c r="C5" s="68" t="s">
        <v>92</v>
      </c>
    </row>
    <row r="6" spans="1:3" x14ac:dyDescent="0.85">
      <c r="A6" s="68" t="s">
        <v>93</v>
      </c>
      <c r="B6" s="69">
        <f>'Data to Fill'!B5</f>
        <v>0</v>
      </c>
      <c r="C6" s="68" t="s">
        <v>92</v>
      </c>
    </row>
    <row r="7" spans="1:3" x14ac:dyDescent="0.85">
      <c r="A7" s="68" t="s">
        <v>181</v>
      </c>
      <c r="B7" s="69">
        <f>'Data to Fill'!C5</f>
        <v>0</v>
      </c>
      <c r="C7" s="68" t="s">
        <v>92</v>
      </c>
    </row>
    <row r="8" spans="1:3" x14ac:dyDescent="0.85">
      <c r="A8" s="68" t="s">
        <v>94</v>
      </c>
      <c r="B8" s="69">
        <f>'Data to Fill'!B6</f>
        <v>0</v>
      </c>
      <c r="C8" s="68" t="s">
        <v>92</v>
      </c>
    </row>
    <row r="9" spans="1:3" x14ac:dyDescent="0.85">
      <c r="A9" s="68" t="s">
        <v>182</v>
      </c>
      <c r="B9" s="69">
        <f>'Data to Fill'!C6</f>
        <v>0</v>
      </c>
      <c r="C9" s="68" t="s">
        <v>92</v>
      </c>
    </row>
    <row r="10" spans="1:3" x14ac:dyDescent="0.85">
      <c r="A10" s="68" t="s">
        <v>95</v>
      </c>
      <c r="B10" s="69">
        <f>'Data to Fill'!B7</f>
        <v>0</v>
      </c>
      <c r="C10" s="68" t="s">
        <v>92</v>
      </c>
    </row>
    <row r="11" spans="1:3" x14ac:dyDescent="0.85">
      <c r="A11" s="68" t="s">
        <v>183</v>
      </c>
      <c r="B11" s="69">
        <f>'Data to Fill'!C7</f>
        <v>0</v>
      </c>
      <c r="C11" s="68" t="s">
        <v>92</v>
      </c>
    </row>
    <row r="12" spans="1:3" x14ac:dyDescent="0.85">
      <c r="A12" s="68" t="s">
        <v>96</v>
      </c>
      <c r="B12" s="69">
        <f>'Data to Fill'!B8</f>
        <v>0</v>
      </c>
      <c r="C12" s="68" t="s">
        <v>92</v>
      </c>
    </row>
    <row r="13" spans="1:3" x14ac:dyDescent="0.85">
      <c r="A13" s="68" t="s">
        <v>184</v>
      </c>
      <c r="B13" s="69">
        <f>'Data to Fill'!C8</f>
        <v>0</v>
      </c>
      <c r="C13" s="68" t="s">
        <v>92</v>
      </c>
    </row>
    <row r="14" spans="1:3" x14ac:dyDescent="0.85">
      <c r="A14" s="68" t="s">
        <v>97</v>
      </c>
      <c r="B14" s="69">
        <f>'Data to Fill'!B9</f>
        <v>0</v>
      </c>
      <c r="C14" s="68" t="s">
        <v>92</v>
      </c>
    </row>
    <row r="15" spans="1:3" x14ac:dyDescent="0.85">
      <c r="A15" s="68" t="s">
        <v>185</v>
      </c>
      <c r="B15" s="69">
        <f>'Data to Fill'!C9</f>
        <v>0</v>
      </c>
      <c r="C15" s="68" t="s">
        <v>92</v>
      </c>
    </row>
    <row r="16" spans="1:3" x14ac:dyDescent="0.85">
      <c r="A16" s="68" t="s">
        <v>98</v>
      </c>
      <c r="B16" s="69">
        <f>'Data to Fill'!B24</f>
        <v>150</v>
      </c>
      <c r="C16" s="68" t="s">
        <v>99</v>
      </c>
    </row>
    <row r="17" spans="1:3" x14ac:dyDescent="0.85">
      <c r="A17" s="68" t="s">
        <v>100</v>
      </c>
      <c r="B17" s="69">
        <f>'Data to Fill'!B25</f>
        <v>4</v>
      </c>
      <c r="C17" s="68" t="s">
        <v>101</v>
      </c>
    </row>
    <row r="18" spans="1:3" x14ac:dyDescent="0.85">
      <c r="A18" s="68" t="s">
        <v>38</v>
      </c>
      <c r="B18" t="str">
        <f>'Data to Fill'!B22</f>
        <v>Investment + dispatch</v>
      </c>
    </row>
    <row r="19" spans="1:3" x14ac:dyDescent="0.85">
      <c r="A19" s="68" t="s">
        <v>102</v>
      </c>
      <c r="B19" s="69">
        <f>'Data to Fill'!B23</f>
        <v>0</v>
      </c>
      <c r="C19" s="68" t="s">
        <v>103</v>
      </c>
    </row>
    <row r="20" spans="1:3" x14ac:dyDescent="0.85">
      <c r="A20" s="68" t="s">
        <v>179</v>
      </c>
      <c r="B20" s="69">
        <f>'Data to Fill'!C18</f>
        <v>120</v>
      </c>
      <c r="C20" s="68" t="s">
        <v>137</v>
      </c>
    </row>
    <row r="21" spans="1:3" x14ac:dyDescent="0.85">
      <c r="A21" s="68" t="s">
        <v>104</v>
      </c>
      <c r="B21" s="69">
        <f>'Data to Fill'!B26</f>
        <v>70</v>
      </c>
      <c r="C21" s="68" t="s">
        <v>105</v>
      </c>
    </row>
    <row r="22" spans="1:3" x14ac:dyDescent="0.85">
      <c r="A22" s="68" t="s">
        <v>106</v>
      </c>
      <c r="B22" s="69">
        <f>'Data to Fill'!B27</f>
        <v>60</v>
      </c>
      <c r="C22" s="68" t="s">
        <v>105</v>
      </c>
    </row>
    <row r="23" spans="1:3" x14ac:dyDescent="0.85">
      <c r="A23" s="68" t="s">
        <v>107</v>
      </c>
      <c r="B23" s="69">
        <f>'Data to Fill'!B28</f>
        <v>45</v>
      </c>
      <c r="C23" s="68" t="s">
        <v>105</v>
      </c>
    </row>
    <row r="24" spans="1:3" x14ac:dyDescent="0.85">
      <c r="A24" s="68" t="s">
        <v>108</v>
      </c>
      <c r="B24" s="69">
        <f>'Data to Fill'!B29</f>
        <v>40</v>
      </c>
      <c r="C24" s="68" t="s">
        <v>105</v>
      </c>
    </row>
    <row r="25" spans="1:3" x14ac:dyDescent="0.85">
      <c r="A25" s="68" t="s">
        <v>109</v>
      </c>
      <c r="B25" s="69">
        <f>'Data to Fill'!D4</f>
        <v>0.76</v>
      </c>
    </row>
    <row r="26" spans="1:3" x14ac:dyDescent="0.85">
      <c r="A26" s="68" t="s">
        <v>110</v>
      </c>
      <c r="B26" s="69">
        <f>'Data to Fill'!E4</f>
        <v>0.14000000000000001</v>
      </c>
    </row>
    <row r="27" spans="1:3" x14ac:dyDescent="0.85">
      <c r="A27" s="68" t="s">
        <v>111</v>
      </c>
      <c r="B27" s="69">
        <f>'Data to Fill'!D5</f>
        <v>0.6</v>
      </c>
    </row>
    <row r="28" spans="1:3" x14ac:dyDescent="0.85">
      <c r="A28" s="68" t="s">
        <v>112</v>
      </c>
      <c r="B28" s="69">
        <f>'Data to Fill'!E5</f>
        <v>0.2</v>
      </c>
    </row>
    <row r="29" spans="1:3" x14ac:dyDescent="0.85">
      <c r="A29" s="68" t="s">
        <v>113</v>
      </c>
      <c r="B29" s="69">
        <f>'Data to Fill'!D6</f>
        <v>0.875</v>
      </c>
    </row>
    <row r="30" spans="1:3" x14ac:dyDescent="0.85">
      <c r="A30" s="68" t="s">
        <v>114</v>
      </c>
      <c r="B30" s="69">
        <f>'Data to Fill'!D8</f>
        <v>1</v>
      </c>
    </row>
    <row r="31" spans="1:3" x14ac:dyDescent="0.85">
      <c r="A31" s="68" t="s">
        <v>115</v>
      </c>
      <c r="B31" s="69">
        <f>'Data to Fill'!D9</f>
        <v>1</v>
      </c>
    </row>
    <row r="32" spans="1:3" x14ac:dyDescent="0.85">
      <c r="A32" s="68" t="s">
        <v>116</v>
      </c>
      <c r="B32" s="69">
        <f>'Data to Fill'!F4</f>
        <v>28</v>
      </c>
      <c r="C32" s="68" t="s">
        <v>117</v>
      </c>
    </row>
    <row r="33" spans="1:3" x14ac:dyDescent="0.85">
      <c r="A33" s="68" t="s">
        <v>118</v>
      </c>
      <c r="B33" s="69">
        <f>'Data to Fill'!F5</f>
        <v>25</v>
      </c>
      <c r="C33" s="68" t="s">
        <v>117</v>
      </c>
    </row>
    <row r="34" spans="1:3" x14ac:dyDescent="0.85">
      <c r="A34" s="68" t="s">
        <v>119</v>
      </c>
      <c r="B34" s="69">
        <f>'Data to Fill'!F6</f>
        <v>25</v>
      </c>
      <c r="C34" s="68" t="s">
        <v>117</v>
      </c>
    </row>
    <row r="35" spans="1:3" x14ac:dyDescent="0.85">
      <c r="A35" s="68" t="s">
        <v>120</v>
      </c>
      <c r="B35" s="69">
        <f>'Data to Fill'!F7</f>
        <v>25</v>
      </c>
      <c r="C35" s="68" t="s">
        <v>117</v>
      </c>
    </row>
    <row r="36" spans="1:3" x14ac:dyDescent="0.85">
      <c r="A36" s="68" t="s">
        <v>121</v>
      </c>
      <c r="B36" s="69">
        <f>'Data to Fill'!F8</f>
        <v>25</v>
      </c>
      <c r="C36" s="68" t="s">
        <v>117</v>
      </c>
    </row>
    <row r="37" spans="1:3" x14ac:dyDescent="0.85">
      <c r="A37" s="68" t="s">
        <v>122</v>
      </c>
      <c r="B37" s="69">
        <f>'Data to Fill'!F9</f>
        <v>20</v>
      </c>
      <c r="C37" s="68" t="s">
        <v>117</v>
      </c>
    </row>
    <row r="38" spans="1:3" x14ac:dyDescent="0.85">
      <c r="A38" s="68" t="s">
        <v>123</v>
      </c>
      <c r="B38" t="str">
        <f>'Data to Fill'!G4</f>
        <v>wood pellets</v>
      </c>
    </row>
    <row r="39" spans="1:3" x14ac:dyDescent="0.85">
      <c r="A39" s="68" t="s">
        <v>124</v>
      </c>
      <c r="B39" t="str">
        <f>'Data to Fill'!G5</f>
        <v>waste</v>
      </c>
    </row>
    <row r="40" spans="1:3" x14ac:dyDescent="0.85">
      <c r="A40" s="68" t="s">
        <v>125</v>
      </c>
      <c r="B40" t="str">
        <f>'Data to Fill'!G6</f>
        <v>bio gas</v>
      </c>
    </row>
    <row r="41" spans="1:3" x14ac:dyDescent="0.85">
      <c r="A41" s="68" t="s">
        <v>126</v>
      </c>
      <c r="B41" t="str">
        <f>'Data to Fill'!G7</f>
        <v>electricity</v>
      </c>
    </row>
    <row r="42" spans="1:3" x14ac:dyDescent="0.85">
      <c r="A42" s="68" t="s">
        <v>127</v>
      </c>
      <c r="B42" t="str">
        <f>'Data to Fill'!G8</f>
        <v>radiation</v>
      </c>
    </row>
    <row r="43" spans="1:3" x14ac:dyDescent="0.85">
      <c r="A43" s="68" t="s">
        <v>128</v>
      </c>
      <c r="B43" t="str">
        <f>'Data to Fill'!G9</f>
        <v>excess heat</v>
      </c>
    </row>
    <row r="44" spans="1:3" x14ac:dyDescent="0.85">
      <c r="A44" s="68" t="s">
        <v>129</v>
      </c>
      <c r="B44" s="69">
        <f>'Data to Fill'!B13</f>
        <v>0.126</v>
      </c>
      <c r="C44" s="68" t="s">
        <v>130</v>
      </c>
    </row>
    <row r="45" spans="1:3" x14ac:dyDescent="0.85">
      <c r="A45" s="68" t="s">
        <v>131</v>
      </c>
      <c r="B45" s="69">
        <f>'Data to Fill'!B14</f>
        <v>0.02</v>
      </c>
      <c r="C45" s="68" t="s">
        <v>130</v>
      </c>
    </row>
    <row r="46" spans="1:3" x14ac:dyDescent="0.85">
      <c r="A46" s="68" t="s">
        <v>186</v>
      </c>
      <c r="B46" s="69">
        <f>'Data to Fill'!B15</f>
        <v>0</v>
      </c>
      <c r="C46" s="68" t="s">
        <v>130</v>
      </c>
    </row>
    <row r="47" spans="1:3" x14ac:dyDescent="0.85">
      <c r="A47" s="68" t="s">
        <v>132</v>
      </c>
      <c r="B47" s="69">
        <f>'Data to Fill'!B16</f>
        <v>0</v>
      </c>
      <c r="C47" s="68" t="s">
        <v>130</v>
      </c>
    </row>
    <row r="48" spans="1:3" x14ac:dyDescent="0.85">
      <c r="A48" s="68" t="s">
        <v>133</v>
      </c>
      <c r="B48" s="69">
        <f>'Data to Fill'!B17</f>
        <v>0</v>
      </c>
      <c r="C48" s="68" t="s">
        <v>130</v>
      </c>
    </row>
    <row r="49" spans="1:3" x14ac:dyDescent="0.85">
      <c r="A49" s="68" t="s">
        <v>134</v>
      </c>
      <c r="B49" s="69">
        <f>'Data to Fill'!B18</f>
        <v>0</v>
      </c>
      <c r="C49" s="68" t="s">
        <v>130</v>
      </c>
    </row>
    <row r="50" spans="1:3" x14ac:dyDescent="0.85">
      <c r="A50" s="68" t="s">
        <v>135</v>
      </c>
      <c r="B50" s="69">
        <f>'Data to Fill'!B19</f>
        <v>0</v>
      </c>
      <c r="C50" s="68" t="s">
        <v>130</v>
      </c>
    </row>
    <row r="51" spans="1:3" x14ac:dyDescent="0.85">
      <c r="A51" s="68" t="s">
        <v>136</v>
      </c>
      <c r="B51" s="69">
        <f>'Data to Fill'!C13</f>
        <v>120</v>
      </c>
      <c r="C51" s="68" t="s">
        <v>137</v>
      </c>
    </row>
    <row r="52" spans="1:3" x14ac:dyDescent="0.85">
      <c r="A52" s="68" t="s">
        <v>138</v>
      </c>
      <c r="B52" s="69">
        <f>'Data to Fill'!C14</f>
        <v>3</v>
      </c>
      <c r="C52" s="68" t="s">
        <v>137</v>
      </c>
    </row>
    <row r="53" spans="1:3" x14ac:dyDescent="0.85">
      <c r="A53" s="68" t="s">
        <v>139</v>
      </c>
      <c r="B53" s="69">
        <f>'Data to Fill'!C15</f>
        <v>35</v>
      </c>
      <c r="C53" s="68" t="s">
        <v>137</v>
      </c>
    </row>
    <row r="54" spans="1:3" x14ac:dyDescent="0.85">
      <c r="A54" s="68" t="s">
        <v>140</v>
      </c>
      <c r="B54" s="69">
        <f>'Data to Fill'!C16</f>
        <v>0</v>
      </c>
      <c r="C54" s="68" t="s">
        <v>137</v>
      </c>
    </row>
    <row r="55" spans="1:3" x14ac:dyDescent="0.85">
      <c r="A55" s="68" t="s">
        <v>141</v>
      </c>
      <c r="B55" s="69">
        <f>'Data to Fill'!C17</f>
        <v>40</v>
      </c>
      <c r="C55" s="68" t="s">
        <v>137</v>
      </c>
    </row>
    <row r="56" spans="1:3" x14ac:dyDescent="0.85">
      <c r="A56" s="68" t="s">
        <v>142</v>
      </c>
      <c r="B56" s="69">
        <f>'Data to Fill'!C19</f>
        <v>22</v>
      </c>
      <c r="C56" s="68" t="s">
        <v>137</v>
      </c>
    </row>
    <row r="57" spans="1:3" x14ac:dyDescent="0.85">
      <c r="A57" s="68" t="s">
        <v>143</v>
      </c>
      <c r="B57" t="s">
        <v>144</v>
      </c>
    </row>
    <row r="58" spans="1:3" x14ac:dyDescent="0.85">
      <c r="A58" s="68" t="s">
        <v>145</v>
      </c>
      <c r="B58" s="69">
        <v>45</v>
      </c>
      <c r="C58" s="68" t="s">
        <v>137</v>
      </c>
    </row>
    <row r="59" spans="1:3" x14ac:dyDescent="0.85">
      <c r="A59" s="68" t="s">
        <v>146</v>
      </c>
      <c r="B59" t="s">
        <v>144</v>
      </c>
    </row>
    <row r="60" spans="1:3" x14ac:dyDescent="0.85">
      <c r="A60" s="68" t="s">
        <v>147</v>
      </c>
      <c r="B60" s="69">
        <v>45</v>
      </c>
      <c r="C60" s="68" t="s">
        <v>137</v>
      </c>
    </row>
    <row r="61" spans="1:3" x14ac:dyDescent="0.85">
      <c r="A61" s="68" t="s">
        <v>148</v>
      </c>
      <c r="B61" t="s">
        <v>144</v>
      </c>
    </row>
    <row r="62" spans="1:3" x14ac:dyDescent="0.85">
      <c r="A62" s="68" t="s">
        <v>149</v>
      </c>
      <c r="B62" s="69">
        <v>45</v>
      </c>
      <c r="C62" s="68" t="s">
        <v>137</v>
      </c>
    </row>
    <row r="63" spans="1:3" x14ac:dyDescent="0.85">
      <c r="A63" s="68" t="s">
        <v>150</v>
      </c>
      <c r="B63" t="s">
        <v>144</v>
      </c>
    </row>
    <row r="64" spans="1:3" x14ac:dyDescent="0.85">
      <c r="A64" s="68" t="s">
        <v>151</v>
      </c>
      <c r="B64" s="69">
        <v>45</v>
      </c>
      <c r="C64" s="68" t="s">
        <v>137</v>
      </c>
    </row>
    <row r="65" spans="1:3" x14ac:dyDescent="0.85">
      <c r="A65" s="68" t="s">
        <v>152</v>
      </c>
      <c r="B65" t="s">
        <v>144</v>
      </c>
    </row>
    <row r="66" spans="1:3" x14ac:dyDescent="0.85">
      <c r="A66" s="68" t="s">
        <v>153</v>
      </c>
      <c r="B66" s="69">
        <v>45</v>
      </c>
      <c r="C66" s="68" t="s">
        <v>137</v>
      </c>
    </row>
    <row r="67" spans="1:3" x14ac:dyDescent="0.85">
      <c r="A67" s="68" t="s">
        <v>154</v>
      </c>
      <c r="B67" t="s">
        <v>144</v>
      </c>
    </row>
    <row r="68" spans="1:3" x14ac:dyDescent="0.85">
      <c r="A68" s="68" t="s">
        <v>155</v>
      </c>
      <c r="B68" s="69">
        <v>45</v>
      </c>
      <c r="C68" s="68" t="s">
        <v>137</v>
      </c>
    </row>
    <row r="69" spans="1:3" x14ac:dyDescent="0.85">
      <c r="A69" s="68" t="s">
        <v>156</v>
      </c>
      <c r="B69" s="69">
        <f>'Data to Fill'!H4</f>
        <v>1055000</v>
      </c>
      <c r="C69" s="68" t="s">
        <v>157</v>
      </c>
    </row>
    <row r="70" spans="1:3" x14ac:dyDescent="0.85">
      <c r="A70" s="68" t="s">
        <v>158</v>
      </c>
      <c r="B70" s="69">
        <f>'Data to Fill'!I4</f>
        <v>2709</v>
      </c>
      <c r="C70" s="68" t="s">
        <v>159</v>
      </c>
    </row>
    <row r="71" spans="1:3" x14ac:dyDescent="0.85">
      <c r="A71" s="68" t="s">
        <v>160</v>
      </c>
      <c r="B71" s="69">
        <f>'Data to Fill'!J4</f>
        <v>0.6</v>
      </c>
      <c r="C71" s="68" t="s">
        <v>137</v>
      </c>
    </row>
    <row r="72" spans="1:3" x14ac:dyDescent="0.85">
      <c r="A72" s="68" t="s">
        <v>161</v>
      </c>
      <c r="B72" s="69">
        <f>'Data to Fill'!K4</f>
        <v>100</v>
      </c>
      <c r="C72" s="68" t="s">
        <v>137</v>
      </c>
    </row>
    <row r="73" spans="1:3" x14ac:dyDescent="0.85">
      <c r="A73" s="68" t="s">
        <v>162</v>
      </c>
      <c r="B73" s="69">
        <f>'Data to Fill'!H5</f>
        <v>3200000</v>
      </c>
      <c r="C73" s="68" t="s">
        <v>157</v>
      </c>
    </row>
    <row r="74" spans="1:3" x14ac:dyDescent="0.85">
      <c r="A74" s="68" t="s">
        <v>163</v>
      </c>
      <c r="B74" s="69">
        <f>'Data to Fill'!I5</f>
        <v>90000</v>
      </c>
      <c r="C74" s="68" t="s">
        <v>159</v>
      </c>
    </row>
    <row r="75" spans="1:3" x14ac:dyDescent="0.85">
      <c r="A75" s="68" t="s">
        <v>164</v>
      </c>
      <c r="B75" s="69">
        <f>'Data to Fill'!J5</f>
        <v>0.5</v>
      </c>
      <c r="C75" s="68" t="s">
        <v>137</v>
      </c>
    </row>
    <row r="76" spans="1:3" x14ac:dyDescent="0.85">
      <c r="A76" s="68" t="s">
        <v>165</v>
      </c>
      <c r="B76" s="69">
        <f>'Data to Fill'!K5</f>
        <v>100</v>
      </c>
      <c r="C76" s="68" t="s">
        <v>137</v>
      </c>
    </row>
    <row r="77" spans="1:3" x14ac:dyDescent="0.85">
      <c r="A77" s="68" t="s">
        <v>166</v>
      </c>
      <c r="B77" s="69">
        <f>'Data to Fill'!H6</f>
        <v>107000</v>
      </c>
      <c r="C77" s="68" t="s">
        <v>157</v>
      </c>
    </row>
    <row r="78" spans="1:3" x14ac:dyDescent="0.85">
      <c r="A78" s="68" t="s">
        <v>167</v>
      </c>
      <c r="B78" s="69">
        <f>'Data to Fill'!I6</f>
        <v>200</v>
      </c>
      <c r="C78" s="68" t="s">
        <v>159</v>
      </c>
    </row>
    <row r="79" spans="1:3" x14ac:dyDescent="0.85">
      <c r="A79" s="68" t="s">
        <v>168</v>
      </c>
      <c r="B79" s="69">
        <f>'Data to Fill'!J6</f>
        <v>0.6</v>
      </c>
      <c r="C79" s="68" t="s">
        <v>137</v>
      </c>
    </row>
    <row r="80" spans="1:3" x14ac:dyDescent="0.85">
      <c r="A80" s="68" t="s">
        <v>169</v>
      </c>
      <c r="B80" s="69">
        <f>'Data to Fill'!H7</f>
        <v>838000</v>
      </c>
      <c r="C80" s="68" t="s">
        <v>157</v>
      </c>
    </row>
    <row r="81" spans="1:3" x14ac:dyDescent="0.85">
      <c r="A81" s="68" t="s">
        <v>170</v>
      </c>
      <c r="B81" s="69">
        <f>'Data to Fill'!I7</f>
        <v>21000</v>
      </c>
      <c r="C81" s="68" t="s">
        <v>159</v>
      </c>
    </row>
    <row r="82" spans="1:3" x14ac:dyDescent="0.85">
      <c r="A82" s="68" t="s">
        <v>171</v>
      </c>
      <c r="B82" s="69">
        <f>'Data to Fill'!J7</f>
        <v>0.5</v>
      </c>
      <c r="C82" s="68" t="s">
        <v>137</v>
      </c>
    </row>
    <row r="83" spans="1:3" x14ac:dyDescent="0.85">
      <c r="A83" s="68" t="s">
        <v>172</v>
      </c>
      <c r="B83" s="69">
        <f>'Data to Fill'!H8</f>
        <v>334000</v>
      </c>
      <c r="C83" s="68" t="s">
        <v>157</v>
      </c>
    </row>
    <row r="84" spans="1:3" x14ac:dyDescent="0.85">
      <c r="A84" s="68" t="s">
        <v>173</v>
      </c>
      <c r="B84" s="69">
        <f>'Data to Fill'!I8</f>
        <v>28040</v>
      </c>
      <c r="C84" s="68" t="s">
        <v>159</v>
      </c>
    </row>
    <row r="85" spans="1:3" x14ac:dyDescent="0.85">
      <c r="A85" s="68" t="s">
        <v>174</v>
      </c>
      <c r="B85" s="69">
        <f>'Data to Fill'!J8</f>
        <v>0.5</v>
      </c>
      <c r="C85" s="68" t="s">
        <v>137</v>
      </c>
    </row>
    <row r="86" spans="1:3" x14ac:dyDescent="0.85">
      <c r="A86" s="68" t="s">
        <v>175</v>
      </c>
      <c r="B86" s="69">
        <f>'Data to Fill'!H9</f>
        <v>500000</v>
      </c>
      <c r="C86" s="68" t="s">
        <v>157</v>
      </c>
    </row>
    <row r="87" spans="1:3" x14ac:dyDescent="0.85">
      <c r="A87" s="68" t="s">
        <v>176</v>
      </c>
      <c r="B87" s="69">
        <f>'Data to Fill'!I9</f>
        <v>5000</v>
      </c>
      <c r="C87" s="68" t="s">
        <v>159</v>
      </c>
    </row>
    <row r="88" spans="1:3" x14ac:dyDescent="0.85">
      <c r="A88" s="68" t="s">
        <v>177</v>
      </c>
      <c r="B88" s="69">
        <f>'Data to Fill'!J9</f>
        <v>0.5</v>
      </c>
      <c r="C88" s="68" t="s">
        <v>137</v>
      </c>
    </row>
    <row r="89" spans="1:3" x14ac:dyDescent="0.85">
      <c r="B89" t="s">
        <v>178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DA413CB1747784287EFCB403FABB905" ma:contentTypeVersion="8" ma:contentTypeDescription="Create a new document." ma:contentTypeScope="" ma:versionID="df29b61f39b561a12c044fa24d7c92fe">
  <xsd:schema xmlns:xsd="http://www.w3.org/2001/XMLSchema" xmlns:xs="http://www.w3.org/2001/XMLSchema" xmlns:p="http://schemas.microsoft.com/office/2006/metadata/properties" xmlns:ns2="34eca4d1-7ecd-4d9e-9696-cd8d3395cf5c" targetNamespace="http://schemas.microsoft.com/office/2006/metadata/properties" ma:root="true" ma:fieldsID="f24744b4b31c63e6dc4b38ce981b7a75" ns2:_="">
    <xsd:import namespace="34eca4d1-7ecd-4d9e-9696-cd8d3395cf5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4eca4d1-7ecd-4d9e-9696-cd8d3395cf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CCFB83-D153-4A78-9D5C-D1AA503A2168}">
  <ds:schemaRefs>
    <ds:schemaRef ds:uri="http://schemas.microsoft.com/sharepoint/v3/contenttype/forms"/>
  </ds:schemaRefs>
</ds:datastoreItem>
</file>

<file path=customXml/itemProps2.xml><?xml version="1.0" encoding="utf-8"?>
<ds:datastoreItem xmlns:ds="http://schemas.openxmlformats.org/officeDocument/2006/customXml" ds:itemID="{199DC442-6C86-4965-96DF-A21F7A1288E8}">
  <ds:schemaRefs>
    <ds:schemaRef ds:uri="http://schemas.microsoft.com/office/infopath/2007/PartnerControls"/>
    <ds:schemaRef ds:uri="http://schemas.openxmlformats.org/package/2006/metadata/core-properties"/>
    <ds:schemaRef ds:uri="http://purl.org/dc/elements/1.1/"/>
    <ds:schemaRef ds:uri="http://schemas.microsoft.com/office/2006/documentManagement/types"/>
    <ds:schemaRef ds:uri="http://www.w3.org/XML/1998/namespace"/>
    <ds:schemaRef ds:uri="http://purl.org/dc/dcmitype/"/>
    <ds:schemaRef ds:uri="http://purl.org/dc/terms/"/>
    <ds:schemaRef ds:uri="34eca4d1-7ecd-4d9e-9696-cd8d3395cf5c"/>
    <ds:schemaRef ds:uri="http://schemas.microsoft.com/office/2006/metadata/properties"/>
  </ds:schemaRefs>
</ds:datastoreItem>
</file>

<file path=customXml/itemProps3.xml><?xml version="1.0" encoding="utf-8"?>
<ds:datastoreItem xmlns:ds="http://schemas.openxmlformats.org/officeDocument/2006/customXml" ds:itemID="{1D8888EB-AE12-46D7-8C09-923C6709047E}"/>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Content</vt:lpstr>
      <vt:lpstr>Data to Fill</vt:lpstr>
      <vt:lpstr>Data Sources</vt:lpstr>
      <vt:lpstr>Arranged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koek</dc:creator>
  <cp:keywords/>
  <dc:description/>
  <cp:lastModifiedBy>Kök, Ali</cp:lastModifiedBy>
  <cp:revision/>
  <dcterms:created xsi:type="dcterms:W3CDTF">2024-10-21T13:41:38Z</dcterms:created>
  <dcterms:modified xsi:type="dcterms:W3CDTF">2025-09-16T16:21:22Z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0x0101006DA413CB1747784287EFCB403FABB905</vt:lpwstr>
  </property>
  <property fmtid="{D5CDD505-2E9C-101B-9397-08002B2CF9AE}" pid="3" name="MediaServiceImageTags">
    <vt:lpwstr/>
  </property>
</Properties>
</file>